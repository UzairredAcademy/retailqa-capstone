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zair\Lewis-Capstone-Project\retailqa-capstone\docs\"/>
    </mc:Choice>
  </mc:AlternateContent>
  <xr:revisionPtr revIDLastSave="0" documentId="13_ncr:1_{ECF2C912-E073-4AAB-92DA-64A674E659FD}" xr6:coauthVersionLast="47" xr6:coauthVersionMax="47" xr10:uidLastSave="{00000000-0000-0000-0000-000000000000}"/>
  <bookViews>
    <workbookView xWindow="-108" yWindow="-108" windowWidth="23256" windowHeight="12456" tabRatio="500" firstSheet="1" activeTab="1" xr2:uid="{00000000-000D-0000-FFFF-FFFF00000000}"/>
  </bookViews>
  <sheets>
    <sheet name="README" sheetId="1" r:id="rId1"/>
    <sheet name="Test Cases" sheetId="2" r:id="rId2"/>
    <sheet name="E2E Steps" sheetId="3" r:id="rId3"/>
    <sheet name="RTM" sheetId="4" r:id="rId4"/>
    <sheet name="Coverage Summary" sheetId="5" r:id="rId5"/>
  </sheets>
  <definedNames>
    <definedName name="_xlnm._FilterDatabase" localSheetId="2" hidden="1">'E2E Steps'!$A$1:$I$60</definedName>
    <definedName name="_xlnm._FilterDatabase" localSheetId="3" hidden="1">RTM!$A$4:$T$41</definedName>
    <definedName name="_xlnm._FilterDatabase" localSheetId="1" hidden="1">'Test Cases'!$A$1:$T$106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4" i="5" l="1"/>
  <c r="C43" i="5"/>
  <c r="C42" i="5"/>
  <c r="C41" i="5"/>
  <c r="C40" i="5"/>
  <c r="C39" i="5"/>
  <c r="C38" i="5"/>
  <c r="C45" i="5" s="1"/>
  <c r="G33" i="5"/>
  <c r="H33" i="5" s="1"/>
  <c r="F33" i="5"/>
  <c r="E33" i="5"/>
  <c r="D33" i="5"/>
  <c r="G32" i="5"/>
  <c r="F32" i="5"/>
  <c r="H32" i="5" s="1"/>
  <c r="D32" i="5"/>
  <c r="E32" i="5" s="1"/>
  <c r="G31" i="5"/>
  <c r="F31" i="5"/>
  <c r="H31" i="5" s="1"/>
  <c r="D31" i="5"/>
  <c r="E31" i="5" s="1"/>
  <c r="G30" i="5"/>
  <c r="F30" i="5"/>
  <c r="H30" i="5" s="1"/>
  <c r="D30" i="5"/>
  <c r="E30" i="5" s="1"/>
  <c r="G29" i="5"/>
  <c r="F29" i="5"/>
  <c r="H29" i="5" s="1"/>
  <c r="D29" i="5"/>
  <c r="E29" i="5" s="1"/>
  <c r="H28" i="5"/>
  <c r="G28" i="5"/>
  <c r="F28" i="5"/>
  <c r="D28" i="5"/>
  <c r="E28" i="5" s="1"/>
  <c r="G27" i="5"/>
  <c r="F27" i="5"/>
  <c r="H27" i="5" s="1"/>
  <c r="E27" i="5"/>
  <c r="D27" i="5"/>
  <c r="H26" i="5"/>
  <c r="G26" i="5"/>
  <c r="F26" i="5"/>
  <c r="D26" i="5"/>
  <c r="E26" i="5" s="1"/>
  <c r="G25" i="5"/>
  <c r="H25" i="5" s="1"/>
  <c r="F25" i="5"/>
  <c r="E25" i="5"/>
  <c r="D25" i="5"/>
  <c r="G24" i="5"/>
  <c r="F24" i="5"/>
  <c r="H24" i="5" s="1"/>
  <c r="D24" i="5"/>
  <c r="E24" i="5" s="1"/>
  <c r="G23" i="5"/>
  <c r="F23" i="5"/>
  <c r="H23" i="5" s="1"/>
  <c r="D23" i="5"/>
  <c r="E23" i="5" s="1"/>
  <c r="G22" i="5"/>
  <c r="F22" i="5"/>
  <c r="H22" i="5" s="1"/>
  <c r="D22" i="5"/>
  <c r="E22" i="5" s="1"/>
  <c r="G21" i="5"/>
  <c r="F21" i="5"/>
  <c r="H21" i="5" s="1"/>
  <c r="D21" i="5"/>
  <c r="E21" i="5" s="1"/>
  <c r="H20" i="5"/>
  <c r="G20" i="5"/>
  <c r="F20" i="5"/>
  <c r="D20" i="5"/>
  <c r="E20" i="5" s="1"/>
  <c r="G19" i="5"/>
  <c r="F19" i="5"/>
  <c r="H19" i="5" s="1"/>
  <c r="E19" i="5"/>
  <c r="D19" i="5"/>
  <c r="H18" i="5"/>
  <c r="G18" i="5"/>
  <c r="F18" i="5"/>
  <c r="D18" i="5"/>
  <c r="E18" i="5" s="1"/>
  <c r="G17" i="5"/>
  <c r="H17" i="5" s="1"/>
  <c r="F17" i="5"/>
  <c r="E17" i="5"/>
  <c r="D17" i="5"/>
  <c r="G16" i="5"/>
  <c r="F16" i="5"/>
  <c r="H16" i="5" s="1"/>
  <c r="D16" i="5"/>
  <c r="E16" i="5" s="1"/>
  <c r="G15" i="5"/>
  <c r="F15" i="5"/>
  <c r="H15" i="5" s="1"/>
  <c r="D15" i="5"/>
  <c r="E15" i="5" s="1"/>
  <c r="C10" i="5"/>
  <c r="G9" i="5"/>
  <c r="F9" i="5"/>
  <c r="D58" i="5" s="1"/>
  <c r="E58" i="5" s="1"/>
  <c r="D9" i="5"/>
  <c r="E9" i="5" s="1"/>
  <c r="G8" i="5"/>
  <c r="F8" i="5"/>
  <c r="H8" i="5" s="1"/>
  <c r="D8" i="5"/>
  <c r="D55" i="5" s="1"/>
  <c r="E55" i="5" s="1"/>
  <c r="G7" i="5"/>
  <c r="G10" i="5" s="1"/>
  <c r="F7" i="5"/>
  <c r="H7" i="5" s="1"/>
  <c r="D7" i="5"/>
  <c r="E7" i="5" s="1"/>
  <c r="G6" i="5"/>
  <c r="F6" i="5"/>
  <c r="H6" i="5" s="1"/>
  <c r="D6" i="5"/>
  <c r="D51" i="5" s="1"/>
  <c r="E51" i="5" s="1"/>
  <c r="P41" i="4"/>
  <c r="O41" i="4"/>
  <c r="L41" i="4"/>
  <c r="K41" i="4"/>
  <c r="J41" i="4"/>
  <c r="I41" i="4"/>
  <c r="M41" i="4" s="1"/>
  <c r="P40" i="4"/>
  <c r="O40" i="4"/>
  <c r="L40" i="4"/>
  <c r="K40" i="4"/>
  <c r="J40" i="4"/>
  <c r="M40" i="4" s="1"/>
  <c r="I40" i="4"/>
  <c r="P39" i="4"/>
  <c r="O39" i="4"/>
  <c r="L39" i="4"/>
  <c r="K39" i="4"/>
  <c r="J39" i="4"/>
  <c r="I39" i="4"/>
  <c r="M39" i="4" s="1"/>
  <c r="P38" i="4"/>
  <c r="H44" i="5" s="1"/>
  <c r="O38" i="4"/>
  <c r="G44" i="5" s="1"/>
  <c r="L38" i="4"/>
  <c r="K38" i="4"/>
  <c r="J38" i="4"/>
  <c r="M38" i="4" s="1"/>
  <c r="I38" i="4"/>
  <c r="P37" i="4"/>
  <c r="O37" i="4"/>
  <c r="M37" i="4"/>
  <c r="N37" i="4" s="1"/>
  <c r="L37" i="4"/>
  <c r="K37" i="4"/>
  <c r="J37" i="4"/>
  <c r="I37" i="4"/>
  <c r="P36" i="4"/>
  <c r="O36" i="4"/>
  <c r="L36" i="4"/>
  <c r="K36" i="4"/>
  <c r="J36" i="4"/>
  <c r="I36" i="4"/>
  <c r="M36" i="4" s="1"/>
  <c r="P35" i="4"/>
  <c r="O35" i="4"/>
  <c r="M35" i="4"/>
  <c r="Q35" i="4" s="1"/>
  <c r="L35" i="4"/>
  <c r="K35" i="4"/>
  <c r="J35" i="4"/>
  <c r="I35" i="4"/>
  <c r="P34" i="4"/>
  <c r="H43" i="5" s="1"/>
  <c r="O34" i="4"/>
  <c r="G43" i="5" s="1"/>
  <c r="L34" i="4"/>
  <c r="K34" i="4"/>
  <c r="J34" i="4"/>
  <c r="I34" i="4"/>
  <c r="M34" i="4" s="1"/>
  <c r="P33" i="4"/>
  <c r="O33" i="4"/>
  <c r="L33" i="4"/>
  <c r="K33" i="4"/>
  <c r="J33" i="4"/>
  <c r="I33" i="4"/>
  <c r="M33" i="4" s="1"/>
  <c r="P32" i="4"/>
  <c r="O32" i="4"/>
  <c r="L32" i="4"/>
  <c r="K32" i="4"/>
  <c r="J32" i="4"/>
  <c r="M32" i="4" s="1"/>
  <c r="I32" i="4"/>
  <c r="P31" i="4"/>
  <c r="O31" i="4"/>
  <c r="L31" i="4"/>
  <c r="K31" i="4"/>
  <c r="J31" i="4"/>
  <c r="I31" i="4"/>
  <c r="M31" i="4" s="1"/>
  <c r="P30" i="4"/>
  <c r="O30" i="4"/>
  <c r="L30" i="4"/>
  <c r="K30" i="4"/>
  <c r="J30" i="4"/>
  <c r="M30" i="4" s="1"/>
  <c r="I30" i="4"/>
  <c r="P29" i="4"/>
  <c r="H42" i="5" s="1"/>
  <c r="O29" i="4"/>
  <c r="G42" i="5" s="1"/>
  <c r="M29" i="4"/>
  <c r="N29" i="4" s="1"/>
  <c r="L29" i="4"/>
  <c r="K29" i="4"/>
  <c r="J29" i="4"/>
  <c r="I29" i="4"/>
  <c r="P28" i="4"/>
  <c r="O28" i="4"/>
  <c r="L28" i="4"/>
  <c r="K28" i="4"/>
  <c r="J28" i="4"/>
  <c r="I28" i="4"/>
  <c r="M28" i="4" s="1"/>
  <c r="P27" i="4"/>
  <c r="O27" i="4"/>
  <c r="M27" i="4"/>
  <c r="Q27" i="4" s="1"/>
  <c r="L27" i="4"/>
  <c r="K27" i="4"/>
  <c r="J27" i="4"/>
  <c r="I27" i="4"/>
  <c r="P26" i="4"/>
  <c r="O26" i="4"/>
  <c r="L26" i="4"/>
  <c r="K26" i="4"/>
  <c r="J26" i="4"/>
  <c r="I26" i="4"/>
  <c r="M26" i="4" s="1"/>
  <c r="P25" i="4"/>
  <c r="O25" i="4"/>
  <c r="L25" i="4"/>
  <c r="K25" i="4"/>
  <c r="J25" i="4"/>
  <c r="I25" i="4"/>
  <c r="M25" i="4" s="1"/>
  <c r="P24" i="4"/>
  <c r="H41" i="5" s="1"/>
  <c r="O24" i="4"/>
  <c r="G41" i="5" s="1"/>
  <c r="L24" i="4"/>
  <c r="K24" i="4"/>
  <c r="J24" i="4"/>
  <c r="M24" i="4" s="1"/>
  <c r="I24" i="4"/>
  <c r="P23" i="4"/>
  <c r="O23" i="4"/>
  <c r="L23" i="4"/>
  <c r="K23" i="4"/>
  <c r="J23" i="4"/>
  <c r="I23" i="4"/>
  <c r="M23" i="4" s="1"/>
  <c r="P22" i="4"/>
  <c r="O22" i="4"/>
  <c r="L22" i="4"/>
  <c r="K22" i="4"/>
  <c r="J22" i="4"/>
  <c r="M22" i="4" s="1"/>
  <c r="I22" i="4"/>
  <c r="P21" i="4"/>
  <c r="O21" i="4"/>
  <c r="M21" i="4"/>
  <c r="N21" i="4" s="1"/>
  <c r="L21" i="4"/>
  <c r="K21" i="4"/>
  <c r="J21" i="4"/>
  <c r="I21" i="4"/>
  <c r="P20" i="4"/>
  <c r="O20" i="4"/>
  <c r="L20" i="4"/>
  <c r="K20" i="4"/>
  <c r="J20" i="4"/>
  <c r="I20" i="4"/>
  <c r="M20" i="4" s="1"/>
  <c r="P19" i="4"/>
  <c r="H40" i="5" s="1"/>
  <c r="O19" i="4"/>
  <c r="G40" i="5" s="1"/>
  <c r="M19" i="4"/>
  <c r="Q19" i="4" s="1"/>
  <c r="L19" i="4"/>
  <c r="K19" i="4"/>
  <c r="J19" i="4"/>
  <c r="I19" i="4"/>
  <c r="P18" i="4"/>
  <c r="O18" i="4"/>
  <c r="L18" i="4"/>
  <c r="K18" i="4"/>
  <c r="J18" i="4"/>
  <c r="I18" i="4"/>
  <c r="M18" i="4" s="1"/>
  <c r="P17" i="4"/>
  <c r="O17" i="4"/>
  <c r="L17" i="4"/>
  <c r="K17" i="4"/>
  <c r="J17" i="4"/>
  <c r="I17" i="4"/>
  <c r="M17" i="4" s="1"/>
  <c r="P16" i="4"/>
  <c r="O16" i="4"/>
  <c r="L16" i="4"/>
  <c r="K16" i="4"/>
  <c r="J16" i="4"/>
  <c r="M16" i="4" s="1"/>
  <c r="I16" i="4"/>
  <c r="P15" i="4"/>
  <c r="O15" i="4"/>
  <c r="L15" i="4"/>
  <c r="K15" i="4"/>
  <c r="J15" i="4"/>
  <c r="I15" i="4"/>
  <c r="M15" i="4" s="1"/>
  <c r="P14" i="4"/>
  <c r="O14" i="4"/>
  <c r="L14" i="4"/>
  <c r="K14" i="4"/>
  <c r="J14" i="4"/>
  <c r="M14" i="4" s="1"/>
  <c r="I14" i="4"/>
  <c r="P13" i="4"/>
  <c r="O13" i="4"/>
  <c r="M13" i="4"/>
  <c r="N13" i="4" s="1"/>
  <c r="L13" i="4"/>
  <c r="K13" i="4"/>
  <c r="J13" i="4"/>
  <c r="I13" i="4"/>
  <c r="P12" i="4"/>
  <c r="H39" i="5" s="1"/>
  <c r="O12" i="4"/>
  <c r="G39" i="5" s="1"/>
  <c r="L12" i="4"/>
  <c r="K12" i="4"/>
  <c r="J12" i="4"/>
  <c r="I12" i="4"/>
  <c r="M12" i="4" s="1"/>
  <c r="P11" i="4"/>
  <c r="O11" i="4"/>
  <c r="M11" i="4"/>
  <c r="Q11" i="4" s="1"/>
  <c r="L11" i="4"/>
  <c r="K11" i="4"/>
  <c r="J11" i="4"/>
  <c r="I11" i="4"/>
  <c r="P10" i="4"/>
  <c r="O10" i="4"/>
  <c r="L10" i="4"/>
  <c r="K10" i="4"/>
  <c r="J10" i="4"/>
  <c r="I10" i="4"/>
  <c r="M10" i="4" s="1"/>
  <c r="P9" i="4"/>
  <c r="O9" i="4"/>
  <c r="L9" i="4"/>
  <c r="K9" i="4"/>
  <c r="J9" i="4"/>
  <c r="I9" i="4"/>
  <c r="M9" i="4" s="1"/>
  <c r="P8" i="4"/>
  <c r="O8" i="4"/>
  <c r="L8" i="4"/>
  <c r="K8" i="4"/>
  <c r="J8" i="4"/>
  <c r="M8" i="4" s="1"/>
  <c r="I8" i="4"/>
  <c r="P7" i="4"/>
  <c r="O7" i="4"/>
  <c r="L7" i="4"/>
  <c r="K7" i="4"/>
  <c r="J7" i="4"/>
  <c r="I7" i="4"/>
  <c r="M7" i="4" s="1"/>
  <c r="P6" i="4"/>
  <c r="O6" i="4"/>
  <c r="L6" i="4"/>
  <c r="K6" i="4"/>
  <c r="J6" i="4"/>
  <c r="M6" i="4" s="1"/>
  <c r="I6" i="4"/>
  <c r="P5" i="4"/>
  <c r="H38" i="5" s="1"/>
  <c r="O5" i="4"/>
  <c r="G38" i="5" s="1"/>
  <c r="L5" i="4"/>
  <c r="K5" i="4"/>
  <c r="M5" i="4" s="1"/>
  <c r="J5" i="4"/>
  <c r="I5" i="4"/>
  <c r="G45" i="5" l="1"/>
  <c r="N7" i="4"/>
  <c r="Q7" i="4"/>
  <c r="H45" i="5"/>
  <c r="Q16" i="4"/>
  <c r="N16" i="4"/>
  <c r="Q20" i="4"/>
  <c r="N20" i="4"/>
  <c r="N30" i="4"/>
  <c r="Q30" i="4"/>
  <c r="Q25" i="4"/>
  <c r="N25" i="4"/>
  <c r="F43" i="5"/>
  <c r="Q34" i="4"/>
  <c r="N34" i="4"/>
  <c r="D43" i="5" s="1"/>
  <c r="E43" i="5" s="1"/>
  <c r="N39" i="4"/>
  <c r="Q39" i="4"/>
  <c r="Q10" i="4"/>
  <c r="N10" i="4"/>
  <c r="N15" i="4"/>
  <c r="Q15" i="4"/>
  <c r="Q33" i="4"/>
  <c r="N33" i="4"/>
  <c r="D42" i="5" s="1"/>
  <c r="E42" i="5" s="1"/>
  <c r="N22" i="4"/>
  <c r="Q22" i="4"/>
  <c r="N6" i="4"/>
  <c r="Q6" i="4"/>
  <c r="F41" i="5"/>
  <c r="Q24" i="4"/>
  <c r="N24" i="4"/>
  <c r="D41" i="5" s="1"/>
  <c r="E41" i="5" s="1"/>
  <c r="Q28" i="4"/>
  <c r="N28" i="4"/>
  <c r="N38" i="4"/>
  <c r="F44" i="5"/>
  <c r="Q38" i="4"/>
  <c r="Q18" i="4"/>
  <c r="N18" i="4"/>
  <c r="N23" i="4"/>
  <c r="Q23" i="4"/>
  <c r="Q41" i="4"/>
  <c r="N41" i="4"/>
  <c r="Q17" i="4"/>
  <c r="N17" i="4"/>
  <c r="Q8" i="4"/>
  <c r="N8" i="4"/>
  <c r="Q9" i="4"/>
  <c r="N9" i="4"/>
  <c r="N14" i="4"/>
  <c r="Q14" i="4"/>
  <c r="Q32" i="4"/>
  <c r="N32" i="4"/>
  <c r="Q36" i="4"/>
  <c r="N36" i="4"/>
  <c r="Q26" i="4"/>
  <c r="N26" i="4"/>
  <c r="N31" i="4"/>
  <c r="Q31" i="4"/>
  <c r="N5" i="4"/>
  <c r="D38" i="5" s="1"/>
  <c r="F38" i="5"/>
  <c r="F45" i="5" s="1"/>
  <c r="Q5" i="4"/>
  <c r="F39" i="5"/>
  <c r="Q12" i="4"/>
  <c r="N12" i="4"/>
  <c r="D39" i="5" s="1"/>
  <c r="E39" i="5" s="1"/>
  <c r="Q40" i="4"/>
  <c r="N40" i="4"/>
  <c r="Q13" i="4"/>
  <c r="Q21" i="4"/>
  <c r="Q29" i="4"/>
  <c r="Q37" i="4"/>
  <c r="E8" i="5"/>
  <c r="H9" i="5"/>
  <c r="D52" i="5"/>
  <c r="E52" i="5" s="1"/>
  <c r="D56" i="5"/>
  <c r="E56" i="5" s="1"/>
  <c r="F42" i="5"/>
  <c r="D10" i="5"/>
  <c r="E10" i="5" s="1"/>
  <c r="D53" i="5"/>
  <c r="E53" i="5" s="1"/>
  <c r="D57" i="5"/>
  <c r="E57" i="5" s="1"/>
  <c r="N11" i="4"/>
  <c r="N19" i="4"/>
  <c r="D40" i="5" s="1"/>
  <c r="E40" i="5" s="1"/>
  <c r="N27" i="4"/>
  <c r="N35" i="4"/>
  <c r="F10" i="5"/>
  <c r="H10" i="5" s="1"/>
  <c r="D54" i="5"/>
  <c r="E54" i="5" s="1"/>
  <c r="F40" i="5"/>
  <c r="E6" i="5"/>
  <c r="D44" i="5" l="1"/>
  <c r="E44" i="5" s="1"/>
  <c r="E38" i="5"/>
  <c r="D45" i="5" l="1"/>
  <c r="E45" i="5" s="1"/>
  <c r="D59" i="5" s="1"/>
  <c r="E59" i="5" s="1"/>
</calcChain>
</file>

<file path=xl/sharedStrings.xml><?xml version="1.0" encoding="utf-8"?>
<sst xmlns="http://schemas.openxmlformats.org/spreadsheetml/2006/main" count="2432" uniqueCount="985">
  <si>
    <t>RetailQE - Test Case List &amp; Requirements Traceability Matrix</t>
  </si>
  <si>
    <t>Lewis Retail Group - Retail Delivery Module (Quality Engineering Capstone)</t>
  </si>
  <si>
    <t>Sheets in this workbook</t>
  </si>
  <si>
    <t>Test Cases</t>
  </si>
  <si>
    <t>All 100 layer tests (40 Cypress, 40 Postman, 20 SQL) plus the 5 E2E scenarios, with IDs in the T-LAYER-FEATURE-### format.</t>
  </si>
  <si>
    <t>E2E Steps</t>
  </si>
  <si>
    <t>Step-by-step detail for the 5 end-to-end scenarios (each step is tagged UI, API or SQL and mapped to acceptance criteria).</t>
  </si>
  <si>
    <t>RTM</t>
  </si>
  <si>
    <t>Requirements Traceability Matrix: every acceptance criterion of FR-001 to FR-007 mapped to its tests. Counts, coverage and results are formulas that read from 'Test Cases'.</t>
  </si>
  <si>
    <t>Coverage Summary</t>
  </si>
  <si>
    <t>Counts per layer and feature against the brief's targets, pass rates against the exit criteria, and FR/AC coverage. All formulas.</t>
  </si>
  <si>
    <t>What to edit (yellow columns on 'Test Cases')</t>
  </si>
  <si>
    <t>Automation Status</t>
  </si>
  <si>
    <t>Planned / In Progress / Automated / Manual (drop-down).</t>
  </si>
  <si>
    <t>Execution Status</t>
  </si>
  <si>
    <t>Not Run / Pass / Fail / Blocked / Skipped (drop-down). The RTM and Coverage Summary update automatically from this column.</t>
  </si>
  <si>
    <t>Executed By / Date</t>
  </si>
  <si>
    <t>Tester name and run date, e.g. 'Uzair' and 2026-11-03.</t>
  </si>
  <si>
    <t>Defect ID</t>
  </si>
  <si>
    <t>JIRA defect key, e.g. RQE-42. Separate several with a semicolon. Copy the IDs into the RTM 'Defect IDs' column as well.</t>
  </si>
  <si>
    <t>Evidence Link</t>
  </si>
  <si>
    <t>Path or link to the proof, e.g. reports/cypress/T-UI-PAY-001.png or a JIRA attachment link.</t>
  </si>
  <si>
    <t>JIRA Story</t>
  </si>
  <si>
    <t>Story/epic key the test traces to, e.g. RQE-7.</t>
  </si>
  <si>
    <t>RTM (yellow columns)</t>
  </si>
  <si>
    <t>Defect IDs and JIRA Story/Epic for each acceptance criterion. Everything else on the RTM is calculated.</t>
  </si>
  <si>
    <t>Assumptions and things to confirm</t>
  </si>
  <si>
    <t>Written before the SUT</t>
  </si>
  <si>
    <t>These tests were written from the capstone brief only; the application, API and database have not been seen yet. Selectors, endpoints, status codes, table names and error messages are provisional and should be confirmed against the real system and its Swagger docs.</t>
  </si>
  <si>
    <t>Table names</t>
  </si>
  <si>
    <t>SQL tests use generic table names (Orders, OrderItems, Payments, Refunds, Shipments, Inventory, InventoryLedger, AuditLog, NotificationLog, ProofOfDelivery). Rename to match the real schema.</t>
  </si>
  <si>
    <t>E2E step count</t>
  </si>
  <si>
    <t>The brief says E2E scenarios need &gt;=10 steps each, but lists 'Payment Failure &amp; Retry' as 5 steps. All 5 scenarios here have 11-13 steps; the 5-step core of the payment scenario is steps 2-6.</t>
  </si>
  <si>
    <t>Counts</t>
  </si>
  <si>
    <t>The brief says 100 tests 'excluding E2E steps'. The 5 E2E scenarios are counted separately, so the workbook has 105 rows.</t>
  </si>
  <si>
    <t>FR-006 at API level</t>
  </si>
  <si>
    <t>Section 2.2 has no Dashboard API category, so FR-006 is covered by API-ORD-010 (history, pagination, filters) and API-ERR-004 (profile and saved addresses). Move ERR-004 into its own folder if your facilitator prefers.</t>
  </si>
  <si>
    <t>Cross-browser</t>
  </si>
  <si>
    <t>Cypress supports Chrome, Firefox and Edge. Cross-browser tests T-UI-XBR-001 to 003 re-run the login flow; 004-005 re-run the totals flow; 006 checks two desktop resolutions.</t>
  </si>
  <si>
    <t>Session expiry</t>
  </si>
  <si>
    <t>T-UI-AUTH-004 uses cy.clock. If the app enforces expiry only on the server, shorten the token lifetime in the test environment instead.</t>
  </si>
  <si>
    <t>Out of scope</t>
  </si>
  <si>
    <t>Performance, security penetration, mobile apps, building the retail system and DevOps are excluded per the brief.</t>
  </si>
  <si>
    <t>Colour key</t>
  </si>
  <si>
    <t>Yellow header/cell</t>
  </si>
  <si>
    <t>Cells for you to fill in.</t>
  </si>
  <si>
    <t>Blue text</t>
  </si>
  <si>
    <t>Cells for you to fill in (yellow fill). Blue text = fixed targets taken from the brief on the Coverage Summary sheet.</t>
  </si>
  <si>
    <t>Test ID</t>
  </si>
  <si>
    <t>Layer</t>
  </si>
  <si>
    <t>Feature</t>
  </si>
  <si>
    <t>FR Ref</t>
  </si>
  <si>
    <t>AC Ref(s)</t>
  </si>
  <si>
    <t>Priority</t>
  </si>
  <si>
    <t>Type</t>
  </si>
  <si>
    <t>Test Title</t>
  </si>
  <si>
    <t>Preconditions</t>
  </si>
  <si>
    <t>Test Steps</t>
  </si>
  <si>
    <t>Test Data</t>
  </si>
  <si>
    <t>Expected Result</t>
  </si>
  <si>
    <t>Tool / Location</t>
  </si>
  <si>
    <t>Executed By</t>
  </si>
  <si>
    <t>Execution Date</t>
  </si>
  <si>
    <t>T-UI-AUTH-001</t>
  </si>
  <si>
    <t>Cypress (UI)</t>
  </si>
  <si>
    <t>User Authentication</t>
  </si>
  <si>
    <t>FR-001</t>
  </si>
  <si>
    <t>FR-001-AC1</t>
  </si>
  <si>
    <t>P0</t>
  </si>
  <si>
    <t>Positive</t>
  </si>
  <si>
    <t>User login with valid email and password succeeds</t>
  </si>
  <si>
    <t>Active test customer account exists; app reachable; browser on login page</t>
  </si>
  <si>
    <t>1. Open the login page
2. Enter a valid email and password
3. Click Login</t>
  </si>
  <si>
    <t>validUser in fixtures/users.json</t>
  </si>
  <si>
    <t>User is redirected to the dashboard; user name is displayed; session cookie/token is set</t>
  </si>
  <si>
    <t>cypress/e2e/auth.cy.ts</t>
  </si>
  <si>
    <t>Planned</t>
  </si>
  <si>
    <t>Not Run</t>
  </si>
  <si>
    <t>T-UI-AUTH-002</t>
  </si>
  <si>
    <t>FR-001-AC2</t>
  </si>
  <si>
    <t>Negative</t>
  </si>
  <si>
    <t>Login with invalid credentials is rejected with a clear error message</t>
  </si>
  <si>
    <t>1. Open the login page
2. Enter a valid email with a wrong password and click Login
3. Repeat with an unregistered email
4. Repeat with an empty password</t>
  </si>
  <si>
    <t>invalidUsers[] in fixtures/users.json</t>
  </si>
  <si>
    <t>Login is rejected each time; a clear, non-technical error is shown; user stays on the login page; no session is created; the message does not reveal which field was wrong</t>
  </si>
  <si>
    <t>T-UI-AUTH-003</t>
  </si>
  <si>
    <t>FR-001-AC3</t>
  </si>
  <si>
    <t>Session persists across page navigation</t>
  </si>
  <si>
    <t>1. Log in
2. Navigate Dashboard &gt; Orders &gt; Tracking
3. Refresh the browser on each page</t>
  </si>
  <si>
    <t>User stays authenticated on every page and after refresh; no re-login prompt</t>
  </si>
  <si>
    <t>T-UI-AUTH-004</t>
  </si>
  <si>
    <t>FR-001-AC4</t>
  </si>
  <si>
    <t>Boundary</t>
  </si>
  <si>
    <t>Session expires after 30 minutes of inactivity</t>
  </si>
  <si>
    <t>1. Log in
2. Advance the clock 29 minutes (cy.clock/cy.tick) and perform an action
3. Advance a further 2 minutes with no activity and perform an action</t>
  </si>
  <si>
    <t>If the server enforces expiry, use a short-lived token via test config instead of cy.clock</t>
  </si>
  <si>
    <t>At 29 minutes the session is still valid; after 30+ minutes the user is redirected to login with a session-expired message and protected pages are inaccessible</t>
  </si>
  <si>
    <t>T-UI-ORD-001</t>
  </si>
  <si>
    <t>Order Management</t>
  </si>
  <si>
    <t>FR-002</t>
  </si>
  <si>
    <t>FR-002-AC1</t>
  </si>
  <si>
    <t>Add a product to the order with a valid quantity</t>
  </si>
  <si>
    <t>Logged-in customer; catalogue seeded with in-stock SKUs at known prices; tax rate known</t>
  </si>
  <si>
    <t>1. Search for an in-stock product
2. Set quantity to 2
3. Click Add to cart
4. Open the cart</t>
  </si>
  <si>
    <t>SKU-001 qty 2</t>
  </si>
  <si>
    <t>Cart shows the product with quantity 2, unit price and the correct line subtotal</t>
  </si>
  <si>
    <t>cypress/e2e/orders.cy.ts</t>
  </si>
  <si>
    <t>T-UI-ORD-002</t>
  </si>
  <si>
    <t>Negative / Boundary</t>
  </si>
  <si>
    <t>Quantity validation rejects zero, negative, non-numeric and above-stock quantities</t>
  </si>
  <si>
    <t>1. Enter quantity 0
2. Enter -1
3. Enter 'abc'
4. Enter stock + 1
5. Enter exactly the available stock</t>
  </si>
  <si>
    <t>Product with known stock level</t>
  </si>
  <si>
    <t>0, -1, 'abc' and stock + 1 are rejected with a validation message and the cart is unchanged; quantity equal to available stock is accepted</t>
  </si>
  <si>
    <t>T-UI-ORD-003</t>
  </si>
  <si>
    <t>FR-002-AC2</t>
  </si>
  <si>
    <t>Order total equals items x price + tax</t>
  </si>
  <si>
    <t>1. Add two different products with different quantities
2. Read the displayed subtotal, tax and total</t>
  </si>
  <si>
    <t>SKU-001 x2, SKU-002 x3</t>
  </si>
  <si>
    <t>Total = SUM(qty x unit price) + tax, rounded to 2 decimals, and matches the value calculated independently from fixtures</t>
  </si>
  <si>
    <t>T-UI-ORD-004</t>
  </si>
  <si>
    <t>FR-002-AC3</t>
  </si>
  <si>
    <t>Valid coupon code applies the correct discount</t>
  </si>
  <si>
    <t>1. Add products to the cart
2. Enter a valid coupon code
3. Click Apply</t>
  </si>
  <si>
    <t>coupons.valid in fixtures</t>
  </si>
  <si>
    <t>Discount line is displayed; total is reduced by the correct amount/percentage; tax is recalculated per business rule</t>
  </si>
  <si>
    <t>T-UI-ORD-005</t>
  </si>
  <si>
    <t>Invalid, expired or already-used coupon is rejected</t>
  </si>
  <si>
    <t>1. Add products to the cart
2. Apply an invalid code
3. Apply an expired code
4. Apply a single-use code that was already redeemed</t>
  </si>
  <si>
    <t>coupons.invalid / expired / used</t>
  </si>
  <si>
    <t>Each coupon is rejected with a clear message; order total is unchanged</t>
  </si>
  <si>
    <t>T-UI-ORD-006</t>
  </si>
  <si>
    <t>FR-002-AC4</t>
  </si>
  <si>
    <t>Order quantity can be modified before payment and totals recalculate</t>
  </si>
  <si>
    <t>1. Create an unpaid order
2. Change a line quantity from 2 to 4
3. Save</t>
  </si>
  <si>
    <t>Line subtotal, tax and order total are recalculated correctly and persisted after refresh</t>
  </si>
  <si>
    <t>T-UI-ORD-007</t>
  </si>
  <si>
    <t>Delivery address can be changed before payment</t>
  </si>
  <si>
    <t>1. Create an unpaid order
2. Edit the delivery address to another saved address
3. Save</t>
  </si>
  <si>
    <t>New address is shown on the order summary and persists after refresh</t>
  </si>
  <si>
    <t>T-UI-ORD-008</t>
  </si>
  <si>
    <t>FR-002-AC5</t>
  </si>
  <si>
    <t>Order cannot be modified after payment</t>
  </si>
  <si>
    <t>1. Open a paid order
2. Look for edit quantity/address controls
3. Attempt to open the edit URL directly</t>
  </si>
  <si>
    <t>Edit controls are hidden or disabled; direct URL access is blocked with a message; order data is unchanged</t>
  </si>
  <si>
    <t>T-UI-ORD-009</t>
  </si>
  <si>
    <t>FR-002-AC6</t>
  </si>
  <si>
    <t>Cancelling an order updates its status and returns inventory</t>
  </si>
  <si>
    <t>1. Note the product's available stock
2. Create and cancel an order for quantity 2
3. Re-open the product page</t>
  </si>
  <si>
    <t>Order status shows Cancelled; displayed available stock is restored to the original level</t>
  </si>
  <si>
    <t>T-UI-ORD-010</t>
  </si>
  <si>
    <t>FR-002-AC7</t>
  </si>
  <si>
    <t>Rapid double submission creates only one order</t>
  </si>
  <si>
    <t>1. Prepare a valid cart
2. Double-click Place Order (or submit twice within 1 second)
3. Open order history</t>
  </si>
  <si>
    <t>Only one order is created; the second submission is ignored or returns the same order</t>
  </si>
  <si>
    <t>T-UI-PAY-001</t>
  </si>
  <si>
    <t>Payment Processing</t>
  </si>
  <si>
    <t>FR-003</t>
  </si>
  <si>
    <t>FR-003-AC2</t>
  </si>
  <si>
    <t>Payment with a valid card succeeds</t>
  </si>
  <si>
    <t>Logged-in customer with an order awaiting payment; payment sandbox test cards available</t>
  </si>
  <si>
    <t>1. Open payment for an unpaid order
2. Enter a valid sandbox card, expiry and CVV
3. Click Pay</t>
  </si>
  <si>
    <t>cards.valid in fixtures</t>
  </si>
  <si>
    <t>Payment is confirmed; order status changes to Paid; confirmation/receipt is displayed</t>
  </si>
  <si>
    <t>cypress/e2e/payments.cy.ts</t>
  </si>
  <si>
    <t>T-UI-PAY-002</t>
  </si>
  <si>
    <t>FR-003-AC1</t>
  </si>
  <si>
    <t>Invalid card number format is rejected</t>
  </si>
  <si>
    <t>1. Enter a card number with letters
2. Enter a too-short number
3. Enter a 16-digit number that fails the Luhn check</t>
  </si>
  <si>
    <t>cards.badNumber[]</t>
  </si>
  <si>
    <t>Each entry is rejected with an inline validation message; Pay does not submit; no charge is attempted</t>
  </si>
  <si>
    <t>T-UI-PAY-003</t>
  </si>
  <si>
    <t>Expired card is rejected</t>
  </si>
  <si>
    <t>1. Enter a valid number with an expiry in the previous month
2. Enter the current month and year</t>
  </si>
  <si>
    <t>cards.expired</t>
  </si>
  <si>
    <t>Previous month is rejected with an expiry message; current month is accepted</t>
  </si>
  <si>
    <t>T-UI-PAY-004</t>
  </si>
  <si>
    <t>Invalid CVV is rejected</t>
  </si>
  <si>
    <t>1. Enter a valid card with a 2-digit CVV
2. Enter non-numeric CVV
3. Leave CVV empty</t>
  </si>
  <si>
    <t>Each CVV is rejected with a clear validation message; payment is not submitted</t>
  </si>
  <si>
    <t>T-UI-PAY-005</t>
  </si>
  <si>
    <t>FR-003-AC3</t>
  </si>
  <si>
    <t>Declined card is handled gracefully</t>
  </si>
  <si>
    <t>1. Pay with the sandbox 'decline' test card
2. Observe the result
3. Open the order</t>
  </si>
  <si>
    <t>cards.declined</t>
  </si>
  <si>
    <t>A friendly decline message is shown (no technical error/stack trace); order remains unpaid; user can retry</t>
  </si>
  <si>
    <t>T-UI-PAY-006</t>
  </si>
  <si>
    <t>FR-003-AC4</t>
  </si>
  <si>
    <t>Double-clicking Pay does not charge twice</t>
  </si>
  <si>
    <t>1. Enter valid card details
2. Double-click Pay
3. Check order and payment status</t>
  </si>
  <si>
    <t>Only one payment is processed; Pay button is disabled after the first click; order shows a single payment</t>
  </si>
  <si>
    <t>T-UI-DEL-001</t>
  </si>
  <si>
    <t>Delivery Tracking</t>
  </si>
  <si>
    <t>FR-004</t>
  </si>
  <si>
    <t>FR-004-AC2</t>
  </si>
  <si>
    <t>Tracking number is assigned and visible on the order details page</t>
  </si>
  <si>
    <t>Paid orders exist in Shipped and Delivered states; one paid order not yet shipped; one unpaid order</t>
  </si>
  <si>
    <t>1. Open a shipped order
2. View the delivery section</t>
  </si>
  <si>
    <t>A tracking number is displayed and matches the format and value in the API response</t>
  </si>
  <si>
    <t>cypress/e2e/delivery.cy.ts</t>
  </si>
  <si>
    <t>T-UI-DEL-002</t>
  </si>
  <si>
    <t>FR-004-AC3</t>
  </si>
  <si>
    <t>Shipped status is displayed correctly</t>
  </si>
  <si>
    <t>1. Open an order whose shipment is Shipped
2. Check the status and tracking timeline</t>
  </si>
  <si>
    <t>Status shows Shipped with a timestamp; timeline lists earlier steps in order</t>
  </si>
  <si>
    <t>T-UI-DEL-003</t>
  </si>
  <si>
    <t>Delivered status is displayed after the shipment is delivered</t>
  </si>
  <si>
    <t>1. Open an order whose shipment is Delivered
2. Check the status and timeline</t>
  </si>
  <si>
    <t>Status shows Delivered with a timestamp; timeline shows Shipped before Delivered</t>
  </si>
  <si>
    <t>T-UI-DEL-004</t>
  </si>
  <si>
    <t>FR-004-AC1</t>
  </si>
  <si>
    <t>Unpaid order shows no shipment or tracking number</t>
  </si>
  <si>
    <t>1. Open an unpaid order
2. View the delivery section</t>
  </si>
  <si>
    <t>No shipment is created or shown and no tracking number is displayed; status reflects awaiting payment</t>
  </si>
  <si>
    <t>T-UI-DEL-005</t>
  </si>
  <si>
    <t>Positive / Negative</t>
  </si>
  <si>
    <t>Tracking page finds a shipment by tracking number and handles unknown numbers</t>
  </si>
  <si>
    <t>1. Open the tracking page
2. Enter a valid tracking number
3. Enter an unknown tracking number</t>
  </si>
  <si>
    <t>Valid number shows shipment status and history; unknown number shows a clear 'not found' message</t>
  </si>
  <si>
    <t>T-UI-DEL-006</t>
  </si>
  <si>
    <t>FR-004-AC5</t>
  </si>
  <si>
    <t>Proof of delivery is visible on a delivered order</t>
  </si>
  <si>
    <t>1. Open a delivered order
2. View the proof of delivery section</t>
  </si>
  <si>
    <t>POD details (received-by/signature or photo reference and timestamp) are displayed</t>
  </si>
  <si>
    <t>T-UI-DASH-001</t>
  </si>
  <si>
    <t>User Dashboard</t>
  </si>
  <si>
    <t>FR-006</t>
  </si>
  <si>
    <t>FR-006-AC1</t>
  </si>
  <si>
    <t>P1</t>
  </si>
  <si>
    <t>Order history is displayed with pagination</t>
  </si>
  <si>
    <t>Logged-in customer with 25+ historical orders of mixed status, date and price</t>
  </si>
  <si>
    <t>1. Open the dashboard order history
2. Note the page size and total
3. Go to next, previous and last pages</t>
  </si>
  <si>
    <t>Page size is respected; no order is duplicated or missing across pages; page controls are enabled/disabled correctly at the first and last page</t>
  </si>
  <si>
    <t>cypress/e2e/dashboard.cy.ts</t>
  </si>
  <si>
    <t>T-UI-DASH-002</t>
  </si>
  <si>
    <t>FR-006-AC2</t>
  </si>
  <si>
    <t>Order history can be filtered by date range, status and price</t>
  </si>
  <si>
    <t>1. Filter by a date range
2. Filter by status
3. Filter by price range
4. Combine filters
5. Clear filters</t>
  </si>
  <si>
    <t>Only matching orders are shown for each filter and for combinations; counts are correct; clearing restores the full list</t>
  </si>
  <si>
    <t>T-UI-DASH-003</t>
  </si>
  <si>
    <t>FR-006-AC3</t>
  </si>
  <si>
    <t>Saved addresses can be added, edited and deleted</t>
  </si>
  <si>
    <t>1. Add a new address
2. Edit it
3. Delete it
4. Try saving an address with a missing mandatory field</t>
  </si>
  <si>
    <t>Add/edit/delete reflect immediately and persist after refresh; missing mandatory field is rejected with a message</t>
  </si>
  <si>
    <t>T-UI-DASH-004</t>
  </si>
  <si>
    <t>FR-006-AC4</t>
  </si>
  <si>
    <t>Profile name, email and phone can be updated and are validated</t>
  </si>
  <si>
    <t>1. Update name, email and phone with valid values and save
2. Enter an invalid email
3. Enter an invalid phone number</t>
  </si>
  <si>
    <t>Valid changes persist after refresh; invalid email and phone are rejected with clear messages</t>
  </si>
  <si>
    <t>T-UI-RET-001</t>
  </si>
  <si>
    <t>Returns &amp; Refunds</t>
  </si>
  <si>
    <t>FR-005</t>
  </si>
  <si>
    <t>FR-005-AC1</t>
  </si>
  <si>
    <t>Return can be initiated within the 30-day window</t>
  </si>
  <si>
    <t>Customer has a delivered order inside the 30-day window and one outside it</t>
  </si>
  <si>
    <t>1. Open a delivered order inside 30 days
2. Click Return
3. Select item(s) and reason
4. Submit</t>
  </si>
  <si>
    <t>Return request is created with status Requested and a return reference is displayed</t>
  </si>
  <si>
    <t>cypress/e2e/returns.cy.ts</t>
  </si>
  <si>
    <t>T-UI-RET-002</t>
  </si>
  <si>
    <t>Return is blocked after the 30-day window</t>
  </si>
  <si>
    <t>1. Open a delivered order older than 30 days
2. Look for the Return option
3. Try the direct return URL</t>
  </si>
  <si>
    <t>Return is not offered or is rejected with a message citing the 30-day policy; no return is created</t>
  </si>
  <si>
    <t>T-UI-RET-003</t>
  </si>
  <si>
    <t>FR-005-AC2</t>
  </si>
  <si>
    <t>Refund amount is displayed correctly</t>
  </si>
  <si>
    <t>1. Start a return for part of an order that had a coupon
2. Review the refund summary</t>
  </si>
  <si>
    <t>Refund = returned items' price (after proportional discount) + applicable tax; matches the independently calculated amount</t>
  </si>
  <si>
    <t>T-UI-RET-004</t>
  </si>
  <si>
    <t>FR-005-AC3</t>
  </si>
  <si>
    <t>Return status shows refund to the original payment method</t>
  </si>
  <si>
    <t>1. Complete a return through to refund
2. Open the return details</t>
  </si>
  <si>
    <t>Return status shows Refunded; refund method shows the original payment method (masked card) and amount</t>
  </si>
  <si>
    <t>T-UI-XBR-001</t>
  </si>
  <si>
    <t>Cross-Browser Support</t>
  </si>
  <si>
    <t>FR-001-AC1; FR-001-AC3</t>
  </si>
  <si>
    <t>P2</t>
  </si>
  <si>
    <t>Login and session persistence work on Chrome</t>
  </si>
  <si>
    <t>Same seeded data as the main suite; run with --browser chrome / firefox / edge</t>
  </si>
  <si>
    <t>1. Run the login + navigation flow with --browser chrome</t>
  </si>
  <si>
    <t>Login succeeds and session persists across navigation; no console errors</t>
  </si>
  <si>
    <t>cypress/e2e/cross-browser.cy.ts</t>
  </si>
  <si>
    <t>T-UI-XBR-002</t>
  </si>
  <si>
    <t>Login and session persistence work on Firefox</t>
  </si>
  <si>
    <t>1. Run the login + navigation flow with --browser firefox</t>
  </si>
  <si>
    <t>Same results as Chrome; no layout break or console errors</t>
  </si>
  <si>
    <t>T-UI-XBR-003</t>
  </si>
  <si>
    <t>Login and session persistence work on Edge</t>
  </si>
  <si>
    <t>1. Run the login + navigation flow with --browser edge</t>
  </si>
  <si>
    <t>T-UI-XBR-004</t>
  </si>
  <si>
    <t>Order total calculation is correct on Firefox</t>
  </si>
  <si>
    <t>1. Run the order total flow with --browser firefox</t>
  </si>
  <si>
    <t>Displayed subtotal, tax and total equal the expected values</t>
  </si>
  <si>
    <t>T-UI-XBR-005</t>
  </si>
  <si>
    <t>Order total calculation is correct on Edge</t>
  </si>
  <si>
    <t>1. Run the order total flow with --browser edge</t>
  </si>
  <si>
    <t>T-UI-XBR-006</t>
  </si>
  <si>
    <t>FR-004-AC2; FR-004-AC3</t>
  </si>
  <si>
    <t>Tracking page renders correctly at 1920x1080 and 1366x768</t>
  </si>
  <si>
    <t>1. Set the viewport to 1920x1080 and open a shipped order
2. Repeat at 1366x768</t>
  </si>
  <si>
    <t>Tracking number and status timeline are visible, readable and not truncated at both resolutions</t>
  </si>
  <si>
    <t>T-API-AUTH-001</t>
  </si>
  <si>
    <t>Postman (API)</t>
  </si>
  <si>
    <t>Authentication APIs</t>
  </si>
  <si>
    <t>POST /auth/login with valid credentials returns 200 and a usable JWT</t>
  </si>
  <si>
    <t>Postman environment holds base_url; test users seeded (one active, one disposable for lockout)</t>
  </si>
  <si>
    <t>1. POST valid credentials
2. Assert status, schema (token, expiry, user id), response time
3. Decode the JWT and check claims
4. Call a protected endpoint with the token twice</t>
  </si>
  <si>
    <t>validUser</t>
  </si>
  <si>
    <t>200 OK; token present with correct claims and expiry; the token is accepted on repeated authenticated calls</t>
  </si>
  <si>
    <t>postman/collections/Auth</t>
  </si>
  <si>
    <t>T-API-AUTH-002</t>
  </si>
  <si>
    <t>FR-001-AC2; FR-001-AC7</t>
  </si>
  <si>
    <t>Account locks after 5 consecutive failed logins</t>
  </si>
  <si>
    <t>1. POST 4 wrong passwords for a disposable user (expect 401 with a generic error)
2. POST the 5th wrong password
3. POST the correct password</t>
  </si>
  <si>
    <t>lockoutUser (disposable)</t>
  </si>
  <si>
    <t>Failures 1-5 return 401 with a generic error; the correct password after the 5th failure is refused with a locked status (e.g. 423/403) and a lockout message; a different user is unaffected</t>
  </si>
  <si>
    <t>T-API-AUTH-003</t>
  </si>
  <si>
    <t>FR-001-AC5</t>
  </si>
  <si>
    <t>Logout invalidates the session token</t>
  </si>
  <si>
    <t>1. Log in and capture the token
2. Call a protected endpoint (200)
3. Call POST /auth/logout
4. Re-use the same token</t>
  </si>
  <si>
    <t>Logout returns 200/204; the same token is then rejected with 401</t>
  </si>
  <si>
    <t>T-API-AUTH-004</t>
  </si>
  <si>
    <t>FR-001-AC6</t>
  </si>
  <si>
    <t>Password reset link issues a single-use token and updates the password</t>
  </si>
  <si>
    <t>1. POST forgot-password for a known email
2. Retrieve the reset token from the test mailbox
3. POST reset-password with a new password
4. Log in with the new password
5. Re-use the reset token</t>
  </si>
  <si>
    <t>Test mailbox or mail-trap access</t>
  </si>
  <si>
    <t>A reset email/token is issued; the password is changed; the new password works and the old one fails; re-using the token is rejected; unknown emails get a generic response</t>
  </si>
  <si>
    <t>T-API-ORD-001</t>
  </si>
  <si>
    <t>Order APIs</t>
  </si>
  <si>
    <t>POST /orders creates an order with valid items</t>
  </si>
  <si>
    <t>Valid auth token in environment; SKUs, coupons and addresses seeded</t>
  </si>
  <si>
    <t>1. POST an order with valid SKUs and quantities
2. Assert status, schema and values</t>
  </si>
  <si>
    <t>201 Created; order id returned; line items, quantities and unit prices match the request/catalogue</t>
  </si>
  <si>
    <t>postman/collections/Orders</t>
  </si>
  <si>
    <t>T-API-ORD-002</t>
  </si>
  <si>
    <t>POST /orders rejects invalid quantities</t>
  </si>
  <si>
    <t>1. POST quantity 0
2. POST quantity -1
3. POST a string quantity
4. POST quantity above available stock
5. POST quantity equal to stock</t>
  </si>
  <si>
    <t>Invalid quantities return 400/422 with field-level messages and no order is created; quantity equal to stock is accepted</t>
  </si>
  <si>
    <t>T-API-ORD-003</t>
  </si>
  <si>
    <t>1. Create an order with multiple items
2. Compute the expected total in a Postman test script
3. Compare with the response</t>
  </si>
  <si>
    <t>subtotal, tax and total in the response equal the expected values to 2 decimals</t>
  </si>
  <si>
    <t>T-API-ORD-004</t>
  </si>
  <si>
    <t>Valid coupon applies the correct discount</t>
  </si>
  <si>
    <t>1. POST/PUT apply-coupon with a valid code
2. Assert the response</t>
  </si>
  <si>
    <t>coupons.valid</t>
  </si>
  <si>
    <t>200 OK; discount amount is correct; total reduced accordingly</t>
  </si>
  <si>
    <t>T-API-ORD-005</t>
  </si>
  <si>
    <t>Invalid, expired and reused coupons are rejected</t>
  </si>
  <si>
    <t>1. Apply an invalid code
2. Apply an expired code
3. Apply an already-used single-use code</t>
  </si>
  <si>
    <t>Each returns 400/422 (or 404) with a clear error code; order total is unchanged</t>
  </si>
  <si>
    <t>T-API-ORD-006</t>
  </si>
  <si>
    <t>PUT /orders/{id} modifies quantity and address before payment</t>
  </si>
  <si>
    <t>1. Create an unpaid order
2. PUT a new quantity
3. PUT a new address
4. GET the order</t>
  </si>
  <si>
    <t>200 OK; the GET shows the new quantity, recalculated totals and the new address</t>
  </si>
  <si>
    <t>T-API-ORD-007</t>
  </si>
  <si>
    <t>Modifying an order after payment is rejected</t>
  </si>
  <si>
    <t>1. Take a paid order
2. PUT a quantity change
3. PUT an address change
4. GET the order</t>
  </si>
  <si>
    <t>Both calls return 409/403/422 with a clear reason; the order is unchanged</t>
  </si>
  <si>
    <t>T-API-ORD-008</t>
  </si>
  <si>
    <t>Cancelling an order sets status to Cancelled and releases stock</t>
  </si>
  <si>
    <t>1. GET stock for the SKU
2. Create an order and cancel it
3. GET the order and GET the stock</t>
  </si>
  <si>
    <t>Order status is Cancelled; stock returns to the original level</t>
  </si>
  <si>
    <t>T-API-ORD-009</t>
  </si>
  <si>
    <t>Duplicate order submission with the same idempotency key creates one order</t>
  </si>
  <si>
    <t>1. POST an order with an Idempotency-Key
2. POST the identical request again with the same key
3. GET the customer's orders</t>
  </si>
  <si>
    <t>The second call returns the original order (or 409) and no second order exists</t>
  </si>
  <si>
    <t>T-API-ORD-010</t>
  </si>
  <si>
    <t>FR-006-AC1; FR-006-AC2</t>
  </si>
  <si>
    <t>GET /orders returns paginated and filtered order history</t>
  </si>
  <si>
    <t>1. GET page 1 with page size 10
2. GET page 2
3. Filter by status
4. Filter by date range
5. Filter by price range</t>
  </si>
  <si>
    <t>Page size, total count and links are correct with no duplicates across pages; each filter returns only matching orders</t>
  </si>
  <si>
    <t>T-API-PAY-001</t>
  </si>
  <si>
    <t>Payment APIs</t>
  </si>
  <si>
    <t>Payment with a valid card is authorized</t>
  </si>
  <si>
    <t>Valid auth token; unpaid order exists; sandbox test card numbers available</t>
  </si>
  <si>
    <t>1. POST payment for an unpaid order with a valid sandbox card
2. GET the payment
3. GET the order</t>
  </si>
  <si>
    <t>cards.valid</t>
  </si>
  <si>
    <t>200/201 with status Authorized/Settled; payment amount equals the order total; order status becomes Paid</t>
  </si>
  <si>
    <t>postman/collections/Payments</t>
  </si>
  <si>
    <t>T-API-PAY-002</t>
  </si>
  <si>
    <t>Invalid card number is rejected</t>
  </si>
  <si>
    <t>1. POST a non-numeric number
2. POST a short number
3. POST a number that fails Luhn</t>
  </si>
  <si>
    <t>400/422 with a card-number validation error; no payment record created</t>
  </si>
  <si>
    <t>T-API-PAY-003</t>
  </si>
  <si>
    <t>1. POST expiry = previous month
2. POST expiry = current month</t>
  </si>
  <si>
    <t>Previous month rejected with an expiry error; current month accepted</t>
  </si>
  <si>
    <t>T-API-PAY-004</t>
  </si>
  <si>
    <t>1. POST a 2-digit CVV
2. POST a non-numeric CVV
3. POST with CVV missing</t>
  </si>
  <si>
    <t>400/422 with a CVV validation error each time; no charge made</t>
  </si>
  <si>
    <t>T-API-PAY-005</t>
  </si>
  <si>
    <t>Declined card returns a graceful, structured decline response</t>
  </si>
  <si>
    <t>1. POST payment with the sandbox decline card
2. GET the order</t>
  </si>
  <si>
    <t>Structured decline (e.g. 402) with a decline code and message and no stack trace; order remains unpaid</t>
  </si>
  <si>
    <t>T-API-PAY-006</t>
  </si>
  <si>
    <t>Duplicate payment for the same order does not double-charge</t>
  </si>
  <si>
    <t>1. POST payment with an Idempotency-Key
2. POST the same payment again
3. POST a new payment for the already paid order
4. GET payments for the order</t>
  </si>
  <si>
    <t>Only one successful payment exists; repeated calls return the original result or 409</t>
  </si>
  <si>
    <t>T-API-PAY-007</t>
  </si>
  <si>
    <t>FR-003-AC5</t>
  </si>
  <si>
    <t>Full refund returns the full amount to the original payment method</t>
  </si>
  <si>
    <t>1. POST refund for a paid order
2. GET the refund
3. GET the payment</t>
  </si>
  <si>
    <t>Refund amount equals the amount paid; refund references the original payment; status is Refunded/Completed</t>
  </si>
  <si>
    <t>T-API-PAY-008</t>
  </si>
  <si>
    <t>Positive / Boundary</t>
  </si>
  <si>
    <t>Partial refund works and refunds above the paid amount are rejected</t>
  </si>
  <si>
    <t>1. POST a partial refund
2. POST a second refund that would exceed the paid amount
3. GET refunds</t>
  </si>
  <si>
    <t>The partial refund succeeds; the over-refund is rejected with 400/409; total refunded never exceeds the amount paid</t>
  </si>
  <si>
    <t>T-API-SHP-001</t>
  </si>
  <si>
    <t>Shipment APIs</t>
  </si>
  <si>
    <t>Shipment is created after payment is confirmed</t>
  </si>
  <si>
    <t>Valid auth token (customer + admin/warehouse role); paid and unpaid orders exist</t>
  </si>
  <si>
    <t>1. Pay for an order
2. GET shipments for the order</t>
  </si>
  <si>
    <t>A shipment exists with status Processing/Created and is linked to the paid order</t>
  </si>
  <si>
    <t>postman/collections/Shipments</t>
  </si>
  <si>
    <t>T-API-SHP-002</t>
  </si>
  <si>
    <t>No shipment is created for an unpaid order</t>
  </si>
  <si>
    <t>1. Create an unpaid order
2. Attempt POST /shipments for it
3. GET shipments for the order</t>
  </si>
  <si>
    <t>Creation is rejected (400/409) and no shipment exists</t>
  </si>
  <si>
    <t>T-API-SHP-003</t>
  </si>
  <si>
    <t>Tracking number is assigned, unique and correctly formatted</t>
  </si>
  <si>
    <t>1. Create shipments for two orders
2. Assert tracking numbers</t>
  </si>
  <si>
    <t>Each shipment has a non-empty tracking number matching the agreed format; the two numbers differ</t>
  </si>
  <si>
    <t>T-API-SHP-004</t>
  </si>
  <si>
    <t>Shipment status progresses Processing to Shipped</t>
  </si>
  <si>
    <t>1. PATCH the status to Shipped (warehouse role)
2. GET the shipment</t>
  </si>
  <si>
    <t>200 OK; status is Shipped with a timestamp; history lists both states in order</t>
  </si>
  <si>
    <t>T-API-SHP-005</t>
  </si>
  <si>
    <t>Invalid shipment status transitions are rejected</t>
  </si>
  <si>
    <t>1. Try Delivered &gt; Shipped
2. Try skipping from Processing to Delivered (if disallowed)
3. Use a customer token to update status</t>
  </si>
  <si>
    <t>Invalid transitions return 400/409 and customers get 403; status is unchanged</t>
  </si>
  <si>
    <t>T-API-SHP-006</t>
  </si>
  <si>
    <t>FR-004-AC4</t>
  </si>
  <si>
    <t>Shipped notification (SMS/Email) is triggered</t>
  </si>
  <si>
    <t>1. Move a shipment to Shipped
2. Check the notification endpoint, test mailbox or SMS stub</t>
  </si>
  <si>
    <t>One email and/or SMS is sent to the customer, containing the order reference and tracking number</t>
  </si>
  <si>
    <t>T-API-DEL-001</t>
  </si>
  <si>
    <t>Delivery APIs</t>
  </si>
  <si>
    <t>GET tracking by tracking number returns status and history</t>
  </si>
  <si>
    <t>Valid auth token; shipment with a tracking number exists</t>
  </si>
  <si>
    <t>1. GET /tracking/{trackingNumber}
2. Assert fields
3. GET with an unknown number</t>
  </si>
  <si>
    <t>Valid number returns 200 with the current status and ordered history; unknown number returns 404 with a clear message</t>
  </si>
  <si>
    <t>postman/collections/Delivery</t>
  </si>
  <si>
    <t>T-API-DEL-002</t>
  </si>
  <si>
    <t>Marking a shipment Delivered updates the status</t>
  </si>
  <si>
    <t>1. PATCH the shipment to Delivered
2. GET the shipment and the order</t>
  </si>
  <si>
    <t>Shipment and order show Delivered with a delivery timestamp</t>
  </si>
  <si>
    <t>T-API-DEL-003</t>
  </si>
  <si>
    <t>Proof of delivery is recorded</t>
  </si>
  <si>
    <t>1. Submit delivery with POD data (recipient name, signature/photo reference, timestamp)
2. GET the shipment</t>
  </si>
  <si>
    <t>POD is stored and returned; delivery without mandatory POD fields is rejected</t>
  </si>
  <si>
    <t>T-API-DEL-004</t>
  </si>
  <si>
    <t>Delivered notification (SMS/Email) is triggered</t>
  </si>
  <si>
    <t>1. Mark Delivered
2. Check the notification endpoint, test mailbox or SMS stub</t>
  </si>
  <si>
    <t>A delivered notification is sent once to the customer</t>
  </si>
  <si>
    <t>T-API-RET-001</t>
  </si>
  <si>
    <t>Returns APIs</t>
  </si>
  <si>
    <t>POST /returns inside the window is accepted; boundary day 30 accepted and day 31 rejected</t>
  </si>
  <si>
    <t>Valid auth token; delivered orders aged inside and outside 30 days</t>
  </si>
  <si>
    <t>1. Return an order delivered 10 days ago
2. Return an order delivered exactly 30 days ago
3. Return an order delivered 31 days ago</t>
  </si>
  <si>
    <t>Orders with delivery dates set via the seed script</t>
  </si>
  <si>
    <t>10 days and 30 days: 201 Created; 31 days: 400/422 with a return-window error and no return created</t>
  </si>
  <si>
    <t>postman/collections/Returns</t>
  </si>
  <si>
    <t>T-API-RET-002</t>
  </si>
  <si>
    <t>Refund amount is calculated correctly for a return</t>
  </si>
  <si>
    <t>1. Return one item from an order that used a coupon
2. GET the return/refund details</t>
  </si>
  <si>
    <t>Refund = item price less proportional discount plus applicable tax, matching the independently calculated value</t>
  </si>
  <si>
    <t>T-API-RET-003</t>
  </si>
  <si>
    <t>Refund is issued to the original payment method</t>
  </si>
  <si>
    <t>1. Complete the return
2. GET the refund
3. GET the original payment</t>
  </si>
  <si>
    <t>The refund references the original payment id and method; no refund to a different method is possible</t>
  </si>
  <si>
    <t>T-API-RET-004</t>
  </si>
  <si>
    <t>FR-005-AC1; FR-005-AC2</t>
  </si>
  <si>
    <t>Return of an item that was not part of the order is rejected</t>
  </si>
  <si>
    <t>1. POST a return containing an SKU not on the order
2. POST a quantity above the quantity ordered</t>
  </si>
  <si>
    <t>400/422 with a clear error; no return or refund is created</t>
  </si>
  <si>
    <t>T-API-ERR-001</t>
  </si>
  <si>
    <t>Global Error Handling</t>
  </si>
  <si>
    <t>Unauthenticated and invalid-token requests return 401 with a consistent error schema</t>
  </si>
  <si>
    <t>Postman environment configured; valid and invalid tokens available</t>
  </si>
  <si>
    <t>1. Call protected endpoints with no token
2. Call with a tampered token
3. Call with an expired token</t>
  </si>
  <si>
    <t>401 each time; the JSON error body has the standard fields (code, message); no internal details leaked</t>
  </si>
  <si>
    <t>postman/collections/ErrorHandling</t>
  </si>
  <si>
    <t>T-API-ERR-002</t>
  </si>
  <si>
    <t>Malformed or incomplete requests return 400 with field-level errors</t>
  </si>
  <si>
    <t>1. POST invalid JSON
2. POST with required fields missing
3. POST with wrong data types</t>
  </si>
  <si>
    <t>400 with a clear validation error naming the offending fields; no server error</t>
  </si>
  <si>
    <t>T-API-ERR-003</t>
  </si>
  <si>
    <t>Requests for non-existent resources return 404 without leaking internals</t>
  </si>
  <si>
    <t>1. GET an unknown order id
2. GET another customer's order id
3. GET an unknown route</t>
  </si>
  <si>
    <t>404 (or 403 for another user's order) with the standard error body; no stack trace or SQL in the response</t>
  </si>
  <si>
    <t>T-API-ERR-004</t>
  </si>
  <si>
    <t>FR-006-AC3; FR-006-AC4</t>
  </si>
  <si>
    <t>Profile and saved-address endpoints validate input and persist valid changes</t>
  </si>
  <si>
    <t>1. PUT a valid profile update and GET the profile
2. PUT an invalid email and an invalid phone
3. POST a valid address and GET the list
4. POST an address with a missing mandatory field</t>
  </si>
  <si>
    <t>Valid changes return 200/201 and are visible on GET; invalid input returns 400 with field errors and nothing is saved</t>
  </si>
  <si>
    <t>T-DB-ORD-001</t>
  </si>
  <si>
    <t>SQL (DB)</t>
  </si>
  <si>
    <t>Order Data Integrity</t>
  </si>
  <si>
    <t>FR-007</t>
  </si>
  <si>
    <t>FR-007-AC2; FR-007-AC3</t>
  </si>
  <si>
    <t>Integrity</t>
  </si>
  <si>
    <t>Every order has a valid customer and at least one line item (no orphans)</t>
  </si>
  <si>
    <t>Test DB seeded via sql/setup; read-only account; run after the related UI/API tests</t>
  </si>
  <si>
    <t>1. Query orders with no matching customer
2. Query orders with no order lines
3. Query order lines with no parent order</t>
  </si>
  <si>
    <t>Tables: Orders, OrderItems, Customers</t>
  </si>
  <si>
    <t>0 rows returned for each check (no violations)</t>
  </si>
  <si>
    <t>sql/validation/order_integrity.sql</t>
  </si>
  <si>
    <t>T-DB-ORD-002</t>
  </si>
  <si>
    <t>FR-002; FR-007</t>
  </si>
  <si>
    <t>FR-002-AC2; FR-007-AC4</t>
  </si>
  <si>
    <t>Order total equals SUM(line total) + tax - discount</t>
  </si>
  <si>
    <t>1. Join Orders to aggregated OrderItems
2. Return orders where the stored total differs from the recomputed total</t>
  </si>
  <si>
    <t>Tables: Orders, OrderItems</t>
  </si>
  <si>
    <t>0 rows returned (difference = 0.00 for all orders)</t>
  </si>
  <si>
    <t>T-DB-ORD-003</t>
  </si>
  <si>
    <t>No duplicate orders exist for the same idempotency key or identical cart in a short window</t>
  </si>
  <si>
    <t>1. Group by customer + idempotency key
2. Group by customer + item set within 5 seconds
3. Return groups with count &gt; 1</t>
  </si>
  <si>
    <t>0 rows returned</t>
  </si>
  <si>
    <t>T-DB-ORD-004</t>
  </si>
  <si>
    <t>FR-002-AC5; FR-002-AC6</t>
  </si>
  <si>
    <t>Cancelled orders have cancel timestamps and paid orders were not modified after payment</t>
  </si>
  <si>
    <t>1. Find Cancelled orders with a null cancelled_at
2. Find orders whose modified_at is later than paid_at
3. Find cancelled orders still holding reserved stock</t>
  </si>
  <si>
    <t>Tables: Orders, Payments, AuditLog</t>
  </si>
  <si>
    <t>0 rows returned for each check</t>
  </si>
  <si>
    <t>T-DB-PAY-001</t>
  </si>
  <si>
    <t>Payment Data Integrity</t>
  </si>
  <si>
    <t>Every paid order has exactly one successful payment</t>
  </si>
  <si>
    <t>1. Count successful payments per paid order
2. Return orders with a count other than 1
3. Return successful payments for non-paid orders</t>
  </si>
  <si>
    <t>Tables: Orders, Payments</t>
  </si>
  <si>
    <t>sql/validation/payment_integrity.sql</t>
  </si>
  <si>
    <t>T-DB-PAY-002</t>
  </si>
  <si>
    <t>FR-003; FR-007</t>
  </si>
  <si>
    <t>FR-003-AC2; FR-007-AC4</t>
  </si>
  <si>
    <t>Successful payment amount equals the order total and no payment is orphaned</t>
  </si>
  <si>
    <t>1. Compare Payments.amount to Orders.total for successful payments
2. Find payments with no order</t>
  </si>
  <si>
    <t>T-DB-PAY-003</t>
  </si>
  <si>
    <t>Declined payments never mark an order as paid and always store a decline reason</t>
  </si>
  <si>
    <t>1. Find declined payments whose order is Paid with no other successful payment
2. Find declined payments with a null reason code</t>
  </si>
  <si>
    <t>T-DB-PAY-004</t>
  </si>
  <si>
    <t>FR-003; FR-005</t>
  </si>
  <si>
    <t>FR-003-AC5; FR-005-AC3</t>
  </si>
  <si>
    <t>Refunds never exceed the amount paid and reference the original payment method</t>
  </si>
  <si>
    <t>1. SUM refunds per payment and compare with the amount paid
2. Find refunds whose method differs from the original payment method</t>
  </si>
  <si>
    <t>Tables: Payments, Refunds</t>
  </si>
  <si>
    <t>T-DB-SHP-001</t>
  </si>
  <si>
    <t>Shipment Integrity</t>
  </si>
  <si>
    <t>Shipments exist only for paid orders</t>
  </si>
  <si>
    <t>1. Join Shipments to Orders
2. Return shipments whose order is not paid or has no successful payment</t>
  </si>
  <si>
    <t>Tables: Shipments, Orders, Payments</t>
  </si>
  <si>
    <t>sql/validation/shipment_integrity.sql</t>
  </si>
  <si>
    <t>T-DB-SHP-002</t>
  </si>
  <si>
    <t>Shipped shipments have unique, non-null tracking numbers</t>
  </si>
  <si>
    <t>1. Find Shipped/Delivered shipments with a null or empty tracking number
2. Find duplicate tracking numbers</t>
  </si>
  <si>
    <t>Tables: Shipments</t>
  </si>
  <si>
    <t>T-DB-SHP-003</t>
  </si>
  <si>
    <t>Shipment status history follows the valid sequence with increasing timestamps</t>
  </si>
  <si>
    <t>1. Read the shipment status history ordered by timestamp
2. Find Delivered before Shipped
3. Find out-of-order timestamps</t>
  </si>
  <si>
    <t>Tables: ShipmentStatusHistory</t>
  </si>
  <si>
    <t>T-DB-SHP-004</t>
  </si>
  <si>
    <t>Every delivered shipment has a proof-of-delivery record</t>
  </si>
  <si>
    <t>1. Find Delivered shipments with no POD row or with an empty recipient/timestamp</t>
  </si>
  <si>
    <t>Tables: Shipments, ProofOfDelivery</t>
  </si>
  <si>
    <t>T-DB-INV-001</t>
  </si>
  <si>
    <t>Inventory Consistency</t>
  </si>
  <si>
    <t>Stock on hand is never negative</t>
  </si>
  <si>
    <t>1. Query inventory rows where quantity_on_hand &lt; 0</t>
  </si>
  <si>
    <t>Tables: Inventory</t>
  </si>
  <si>
    <t>sql/validation/inventory_consistency.sql</t>
  </si>
  <si>
    <t>T-DB-INV-002</t>
  </si>
  <si>
    <t>FR-007-AC2; FR-007-AC4</t>
  </si>
  <si>
    <t>Reconciliation</t>
  </si>
  <si>
    <t>Stock movements reconcile: opening stock + ledger entries = current stock</t>
  </si>
  <si>
    <t>1. For each SKU compute opening stock + SUM(ledger quantity)
2. Compare with the current on-hand figure</t>
  </si>
  <si>
    <t>Tables: Inventory, InventoryLedger</t>
  </si>
  <si>
    <t>0 rows returned (difference = 0 for every SKU)</t>
  </si>
  <si>
    <t>T-DB-INV-003</t>
  </si>
  <si>
    <t>Cancelling an order releases its reserved/sold stock</t>
  </si>
  <si>
    <t>1. For each Cancelled order, SUM ledger entries per SKU
2. Verify a compensating positive entry equals the ordered quantity</t>
  </si>
  <si>
    <t>Tables: Orders, OrderItems, InventoryLedger</t>
  </si>
  <si>
    <t>0 rows returned (net ledger effect of a cancelled order is 0)</t>
  </si>
  <si>
    <t>T-DB-INV-004</t>
  </si>
  <si>
    <t>FR-005-AC4</t>
  </si>
  <si>
    <t>Return receipt restores stock for the returned quantity</t>
  </si>
  <si>
    <t>1. For each received return line, find the matching ledger entry
2. Compare quantities</t>
  </si>
  <si>
    <t>Tables: Returns, ReturnItems, InventoryLedger</t>
  </si>
  <si>
    <t>0 rows returned (every received return has a matching positive ledger entry)</t>
  </si>
  <si>
    <t>T-DB-AUD-001</t>
  </si>
  <si>
    <t>Audit &amp; Compliance</t>
  </si>
  <si>
    <t>FR-005-AC5</t>
  </si>
  <si>
    <t>Compliance</t>
  </si>
  <si>
    <t>Audit log has entries for order, payment and status changes</t>
  </si>
  <si>
    <t>1. For recent orders, count audit rows for order created, payment and shipment status changes
2. Return entities with missing events</t>
  </si>
  <si>
    <t>Tables: AuditLog</t>
  </si>
  <si>
    <t>0 rows returned; each audit row has an actor, action, entity id and timestamp</t>
  </si>
  <si>
    <t>sql/validation/audit_compliance.sql</t>
  </si>
  <si>
    <t>T-DB-AUD-002</t>
  </si>
  <si>
    <t>Return audit trail is complete: requested, received and refunded</t>
  </si>
  <si>
    <t>1. For each completed return, list audit events in order
2. Return returns missing any required event or with out-of-order events</t>
  </si>
  <si>
    <t>Tables: Returns, AuditLog</t>
  </si>
  <si>
    <t>T-DB-AUD-003</t>
  </si>
  <si>
    <t>Shipped and delivered notifications are logged for each shipment</t>
  </si>
  <si>
    <t>1. For each Shipped/Delivered shipment find the SMS/email log entries
2. Return shipments with no notification</t>
  </si>
  <si>
    <t>Tables: Shipments, NotificationLog</t>
  </si>
  <si>
    <t>T-DB-AUD-004</t>
  </si>
  <si>
    <t>FR-007-AC3</t>
  </si>
  <si>
    <t>No partially completed transactions exist (all-or-nothing)</t>
  </si>
  <si>
    <t>1. Find Paid orders with no payment
2. Find payments with no order
3. Find orders with items but with no stock ledger entry
4. Find shipments with no paid order</t>
  </si>
  <si>
    <t>Tables: Orders, Payments, Shipments, InventoryLedger</t>
  </si>
  <si>
    <t>T-E2E-ORD-001</t>
  </si>
  <si>
    <t>E2E</t>
  </si>
  <si>
    <t>Complete order lifecycle (login to delivery)</t>
  </si>
  <si>
    <t>FR-001; FR-002; FR-003; FR-004; FR-007</t>
  </si>
  <si>
    <t>FR-001-AC1; FR-002-AC1; FR-002-AC2; FR-002-AC3; FR-003-AC2; FR-004-AC1; FR-004-AC2; FR-004-AC3; FR-004-AC4; FR-004-AC5; FR-007-AC1; FR-007-AC2; FR-007-AC4</t>
  </si>
  <si>
    <t>End-to-end</t>
  </si>
  <si>
    <t>Seeded test data; UI, API and DB all reachable; run after the layer suites are stable</t>
  </si>
  <si>
    <t>13 steps across UI, API and SQL - see the 'E2E Steps' sheet</t>
  </si>
  <si>
    <t>Order is created, paid, shipped and delivered; UI, API and DB values agree at every checkpoint</t>
  </si>
  <si>
    <t>cypress/e2e/e2e/ + Newman + sql/validation (orchestrated)</t>
  </si>
  <si>
    <t>T-E2E-PAY-001</t>
  </si>
  <si>
    <t>Payment failure and retry</t>
  </si>
  <si>
    <t>FR-001-AC1; FR-002-AC1; FR-003-AC1; FR-003-AC2; FR-003-AC3; FR-003-AC4; FR-004-AC1; FR-007-AC1; FR-007-AC3; FR-007-AC4</t>
  </si>
  <si>
    <t>11 steps across UI, API and SQL - see the 'E2E Steps' sheet</t>
  </si>
  <si>
    <t>A declined payment leaves no partial state; the retry succeeds once with exactly one charge</t>
  </si>
  <si>
    <t>T-E2E-ADR-001</t>
  </si>
  <si>
    <t>Address change before delivery</t>
  </si>
  <si>
    <t>FR-001; FR-002; FR-003; FR-004; FR-006; FR-007</t>
  </si>
  <si>
    <t>FR-001-AC1; FR-002-AC1; FR-002-AC4; FR-002-AC5; FR-003-AC2; FR-004-AC1; FR-004-AC2; FR-004-AC3; FR-006-AC3; FR-007-AC1; FR-007-AC2</t>
  </si>
  <si>
    <t>12 steps across UI, API and SQL - see the 'E2E Steps' sheet</t>
  </si>
  <si>
    <t>Address can be changed before payment only; the final address is consistent across UI, API, DB and the shipment</t>
  </si>
  <si>
    <t>T-E2E-RET-001</t>
  </si>
  <si>
    <t>Return and refund processing</t>
  </si>
  <si>
    <t>FR-001; FR-003; FR-005; FR-007</t>
  </si>
  <si>
    <t>FR-001-AC1; FR-003-AC5; FR-005-AC1; FR-005-AC2; FR-005-AC3; FR-005-AC4; FR-005-AC5; FR-007-AC1; FR-007-AC2; FR-007-AC4</t>
  </si>
  <si>
    <t>A valid return is refunded to the original method, stock is restored, the audit trail is complete, and an out-of-window return is refused</t>
  </si>
  <si>
    <t>T-E2E-INV-001</t>
  </si>
  <si>
    <t>Inventory consistency end to end</t>
  </si>
  <si>
    <t>FR-002; FR-003; FR-005; FR-007</t>
  </si>
  <si>
    <t>FR-002-AC1; FR-002-AC6; FR-003-AC2; FR-005-AC4; FR-007-AC1; FR-007-AC2; FR-007-AC3; FR-007-AC4</t>
  </si>
  <si>
    <t>Stock moves correctly for sale, cancellation and return; ledger reconciles and UI = API = DB</t>
  </si>
  <si>
    <t>Scenario ID</t>
  </si>
  <si>
    <t>Scenario</t>
  </si>
  <si>
    <t>Step</t>
  </si>
  <si>
    <t>Action</t>
  </si>
  <si>
    <t>Step Result</t>
  </si>
  <si>
    <t>Notes / Evidence</t>
  </si>
  <si>
    <t>UI</t>
  </si>
  <si>
    <t>Log in with a valid customer account</t>
  </si>
  <si>
    <t>Dashboard is displayed</t>
  </si>
  <si>
    <t>Add two products with valid quantities and apply a valid coupon</t>
  </si>
  <si>
    <t>Cart shows items, discount and total</t>
  </si>
  <si>
    <t>FR-002-AC1; FR-002-AC3</t>
  </si>
  <si>
    <t>Capture the displayed subtotal, discount, tax and total</t>
  </si>
  <si>
    <t>Values stored for comparison</t>
  </si>
  <si>
    <t>API</t>
  </si>
  <si>
    <t>GET the order/cart via API and compare with the captured UI values</t>
  </si>
  <si>
    <t>UI values equal API values</t>
  </si>
  <si>
    <t>FR-007-AC1</t>
  </si>
  <si>
    <t>Pay with a valid sandbox card</t>
  </si>
  <si>
    <t>Payment confirmation is displayed</t>
  </si>
  <si>
    <t>GET the payment by order id</t>
  </si>
  <si>
    <t>Status Settled/Authorized; amount equals order total</t>
  </si>
  <si>
    <t>FR-003-AC2; FR-007-AC1</t>
  </si>
  <si>
    <t>SQL</t>
  </si>
  <si>
    <t>Query Orders and Payments for the order</t>
  </si>
  <si>
    <t>Order = Paid; exactly one successful payment; Orders.total = Payments.amount = UI total</t>
  </si>
  <si>
    <t>GET the shipment for the order</t>
  </si>
  <si>
    <t>Shipment created after payment; tracking number assigned</t>
  </si>
  <si>
    <t>FR-004-AC1; FR-004-AC2</t>
  </si>
  <si>
    <t>Query Shipments and Inventory</t>
  </si>
  <si>
    <t>Shipment row exists with a unique tracking number; stock reduced by the ordered quantities</t>
  </si>
  <si>
    <t>FR-004-AC1; FR-007-AC2</t>
  </si>
  <si>
    <t>Update the shipment to Shipped, then Delivered with proof of delivery</t>
  </si>
  <si>
    <t>Statuses update in order; POD stored</t>
  </si>
  <si>
    <t>FR-004-AC3; FR-004-AC5</t>
  </si>
  <si>
    <t>Query NotificationLog and ProofOfDelivery</t>
  </si>
  <si>
    <t>SMS/email logged for Shipped and Delivered; POD record exists</t>
  </si>
  <si>
    <t>FR-004-AC4; FR-004-AC5</t>
  </si>
  <si>
    <t>Open the order details page</t>
  </si>
  <si>
    <t>Status Delivered, tracking number and POD displayed and equal to API values</t>
  </si>
  <si>
    <t>FR-004-AC3; FR-007-AC1</t>
  </si>
  <si>
    <t>Run the cross-layer reconciliation query (UI = API = DB totals)</t>
  </si>
  <si>
    <t>No differences; reconciliation report saved as evidence</t>
  </si>
  <si>
    <t>FR-007-AC4</t>
  </si>
  <si>
    <t>Log in, add a product and proceed to payment</t>
  </si>
  <si>
    <t>Payment page displayed</t>
  </si>
  <si>
    <t>FR-001-AC1; FR-002-AC1</t>
  </si>
  <si>
    <t>Pay with the declined sandbox card</t>
  </si>
  <si>
    <t>Graceful decline message; user can retry</t>
  </si>
  <si>
    <t>GET the payment and order</t>
  </si>
  <si>
    <t>Payment Declined with reason code; order still awaiting payment</t>
  </si>
  <si>
    <t>FR-003-AC3; FR-007-AC1</t>
  </si>
  <si>
    <t>Query Payments, Orders and Shipments for the order</t>
  </si>
  <si>
    <t>Declined row stored with reason; order not Paid; no shipment (no partial state)</t>
  </si>
  <si>
    <t>FR-007-AC3; FR-004-AC1</t>
  </si>
  <si>
    <t>Retry with an invalid CVV</t>
  </si>
  <si>
    <t>Validation rejects it before any charge</t>
  </si>
  <si>
    <t>Retry with a valid card</t>
  </si>
  <si>
    <t>Payment succeeds; order Paid</t>
  </si>
  <si>
    <t>GET payments for the order</t>
  </si>
  <si>
    <t>Exactly one successful payment (plus the earlier declined attempt)</t>
  </si>
  <si>
    <t>Query Payments for the order</t>
  </si>
  <si>
    <t>One Settled payment; declined attempt retained for audit; charged total = order total</t>
  </si>
  <si>
    <t>FR-003-AC4; FR-007-AC4</t>
  </si>
  <si>
    <t>Re-submit/double-click the payment confirmation</t>
  </si>
  <si>
    <t>No second charge is made</t>
  </si>
  <si>
    <t>Re-run the payment and order integrity checks</t>
  </si>
  <si>
    <t>Still one successful payment; no orphan or partial records</t>
  </si>
  <si>
    <t>Exactly one shipment created after payment was confirmed</t>
  </si>
  <si>
    <t>Log in and add a new saved address (Address B)</t>
  </si>
  <si>
    <t>Address B appears in saved addresses</t>
  </si>
  <si>
    <t>FR-001-AC1; FR-006-AC3</t>
  </si>
  <si>
    <t>GET saved addresses</t>
  </si>
  <si>
    <t>Address B is returned and equals the UI values</t>
  </si>
  <si>
    <t>Create an order delivering to Address A</t>
  </si>
  <si>
    <t>Order summary shows Address A</t>
  </si>
  <si>
    <t>Change the order's delivery address to B before paying</t>
  </si>
  <si>
    <t>Order summary shows Address B</t>
  </si>
  <si>
    <t>GET the order</t>
  </si>
  <si>
    <t>Delivery address is B</t>
  </si>
  <si>
    <t>Pay with a valid card</t>
  </si>
  <si>
    <t>Order Paid</t>
  </si>
  <si>
    <t>Query the order's address and payment</t>
  </si>
  <si>
    <t>Order address = B; payment Settled</t>
  </si>
  <si>
    <t>FR-007-AC2</t>
  </si>
  <si>
    <t>Try to change the address after payment</t>
  </si>
  <si>
    <t>Change is blocked with a message</t>
  </si>
  <si>
    <t>PUT a new address on the paid order</t>
  </si>
  <si>
    <t>Rejected (409/403/422); address remains B</t>
  </si>
  <si>
    <t>GET the shipment</t>
  </si>
  <si>
    <t>Shipment created with destination Address B and a tracking number</t>
  </si>
  <si>
    <t>Query Shipments and AuditLog</t>
  </si>
  <si>
    <t>Shipment destination = B; the pre-payment address change is audited</t>
  </si>
  <si>
    <t>Open the tracking page</t>
  </si>
  <si>
    <t>Delivery address and status shown match the API and DB</t>
  </si>
  <si>
    <t>Log in and open a delivered order inside the 30-day window</t>
  </si>
  <si>
    <t>Order details displayed</t>
  </si>
  <si>
    <t>FR-001-AC1; FR-005-AC1</t>
  </si>
  <si>
    <t>Initiate a return for selected items with a reason</t>
  </si>
  <si>
    <t>Return created with status Requested</t>
  </si>
  <si>
    <t>GET the return</t>
  </si>
  <si>
    <t>Status Requested; within-window check passed</t>
  </si>
  <si>
    <t>FR-005-AC1; FR-007-AC1</t>
  </si>
  <si>
    <t>Compare the refund amount shown with the API refund amount</t>
  </si>
  <si>
    <t>Both equal the independently calculated refund</t>
  </si>
  <si>
    <t>FR-005-AC2; FR-007-AC1</t>
  </si>
  <si>
    <t>Mark the return as received (warehouse role)</t>
  </si>
  <si>
    <t>Return status Received</t>
  </si>
  <si>
    <t>Query InventoryLedger and Inventory for the returned SKUs</t>
  </si>
  <si>
    <t>Positive ledger entry equals the returned quantity; stock restored</t>
  </si>
  <si>
    <t>FR-005-AC4; FR-007-AC2</t>
  </si>
  <si>
    <t>Issue/confirm the refund and GET it</t>
  </si>
  <si>
    <t>Refund references the original payment and method</t>
  </si>
  <si>
    <t>FR-005-AC3; FR-003-AC5</t>
  </si>
  <si>
    <t>Query Refunds and Payments</t>
  </si>
  <si>
    <t>Refund linked to the original payment; amount &lt;= amount paid; totals consistent</t>
  </si>
  <si>
    <t>FR-005-AC3; FR-007-AC4</t>
  </si>
  <si>
    <t>Query AuditLog for the return</t>
  </si>
  <si>
    <t>Requested, Received and Refunded events exist, in order, with actor and timestamp</t>
  </si>
  <si>
    <t>Open the return and the dashboard order history</t>
  </si>
  <si>
    <t>Status Refunded; refund amount and original method displayed</t>
  </si>
  <si>
    <t>FR-005-AC2; FR-005-AC3</t>
  </si>
  <si>
    <t>Try to return an order older than 30 days (UI and API)</t>
  </si>
  <si>
    <t>Refused with a policy message; no return or refund rows are created</t>
  </si>
  <si>
    <t>Record the baseline stock S0 for a chosen SKU</t>
  </si>
  <si>
    <t>S0 captured</t>
  </si>
  <si>
    <t>Log in, order quantity 3 of the SKU and pay</t>
  </si>
  <si>
    <t>Order Paid; displayed availability = S0 - 3</t>
  </si>
  <si>
    <t>FR-002-AC1; FR-003-AC2</t>
  </si>
  <si>
    <t>GET the product stock</t>
  </si>
  <si>
    <t>Stock = S0 - 3 (matches UI)</t>
  </si>
  <si>
    <t>Query Inventory and InventoryLedger</t>
  </si>
  <si>
    <t>Stock = S0 - 3; ledger has a Sale entry of -3</t>
  </si>
  <si>
    <t>Place a second order for quantity 2, then cancel it before shipment</t>
  </si>
  <si>
    <t>Second order Cancelled</t>
  </si>
  <si>
    <t>GET the product stock after cancellation</t>
  </si>
  <si>
    <t>Stock is back to S0 - 3</t>
  </si>
  <si>
    <t>FR-002-AC6; FR-007-AC1</t>
  </si>
  <si>
    <t>Query InventoryLedger for the cancelled order</t>
  </si>
  <si>
    <t>Compensating +2 entry exists; stock = S0 - 3</t>
  </si>
  <si>
    <t>FR-002-AC6; FR-007-AC2</t>
  </si>
  <si>
    <t>Attempt an order for more than the available stock</t>
  </si>
  <si>
    <t>Rejected; stock unchanged and no partial reservation</t>
  </si>
  <si>
    <t>FR-002-AC1; FR-007-AC3</t>
  </si>
  <si>
    <t>Return quantity 1 from the first order and mark it received</t>
  </si>
  <si>
    <t>Return Received</t>
  </si>
  <si>
    <t>Query Inventory and InventoryLedger after the return</t>
  </si>
  <si>
    <t>Stock = S0 - 2; ledger has a Return entry of +1</t>
  </si>
  <si>
    <t>Check the displayed availability for the SKU</t>
  </si>
  <si>
    <t>Displayed availability = S0 - 2</t>
  </si>
  <si>
    <t>Run the reconciliation query (opening + SUM(ledger) = current) and check for negative stock</t>
  </si>
  <si>
    <t>No differences; no negative stock; UI = API = DB</t>
  </si>
  <si>
    <t>FR-007-AC3; FR-007-AC4</t>
  </si>
  <si>
    <t>Requirements Traceability Matrix (Requirement &gt; Test &gt; Defect)</t>
  </si>
  <si>
    <t>Mapped test IDs are fixed text; counts, coverage and results are formulas reading 'Test Cases'. Yellow columns are for you to fill in.</t>
  </si>
  <si>
    <t>FR ID</t>
  </si>
  <si>
    <t>Functional Requirement</t>
  </si>
  <si>
    <t>AC ID</t>
  </si>
  <si>
    <t>Acceptance Criterion</t>
  </si>
  <si>
    <t>Cypress (UI) Tests</t>
  </si>
  <si>
    <t>Postman (API) Tests</t>
  </si>
  <si>
    <t>SQL (DB) Tests</t>
  </si>
  <si>
    <t>E2E Scenarios</t>
  </si>
  <si>
    <t># UI</t>
  </si>
  <si>
    <t># API</t>
  </si>
  <si>
    <t># SQL</t>
  </si>
  <si>
    <t># E2E</t>
  </si>
  <si>
    <t>Total Tests</t>
  </si>
  <si>
    <t>Coverage</t>
  </si>
  <si>
    <t>Passed</t>
  </si>
  <si>
    <t>Failed</t>
  </si>
  <si>
    <t>Result</t>
  </si>
  <si>
    <t>Defect IDs</t>
  </si>
  <si>
    <t>JIRA Story / Epic</t>
  </si>
  <si>
    <t>Required Evidence (from brief)</t>
  </si>
  <si>
    <t>User Authentication &amp; Session Management</t>
  </si>
  <si>
    <t>Valid email + password login succeeds</t>
  </si>
  <si>
    <t>UI-AUTH-001, UI-XBR-001, UI-XBR-002, UI-XBR-003</t>
  </si>
  <si>
    <t>API-AUTH-001</t>
  </si>
  <si>
    <t>E2E-ORD-001, E2E-PAY-001, E2E-ADR-001, E2E-RE001</t>
  </si>
  <si>
    <t>Cypress test results + JWT/Session token validation</t>
  </si>
  <si>
    <t>Invalid credentials rejected with clear error</t>
  </si>
  <si>
    <t>UI-AUTH-002</t>
  </si>
  <si>
    <t>API-AUTH-002, API-ERR-001</t>
  </si>
  <si>
    <t>UI-AUTH-003, UI-XBR-001, UI-XBR-002, UI-XBR-003</t>
  </si>
  <si>
    <t>UI-AUTH-004</t>
  </si>
  <si>
    <t>User can logout, invalidating session</t>
  </si>
  <si>
    <t>API-AUTH-003</t>
  </si>
  <si>
    <t>Password reset via email link works</t>
  </si>
  <si>
    <t>API-AUTH-004</t>
  </si>
  <si>
    <t>FR-001-AC7</t>
  </si>
  <si>
    <t>Account lockout after 5 failed attempts</t>
  </si>
  <si>
    <t>API-AUTH-002</t>
  </si>
  <si>
    <t>Add products to order with quantity validation</t>
  </si>
  <si>
    <t>UI-ORD-001, UI-ORD-002</t>
  </si>
  <si>
    <t>API-ORD-001, API-ORD-002, API-ERR-002</t>
  </si>
  <si>
    <t>DB-INV-001</t>
  </si>
  <si>
    <t>E2E-ORD-001, E2E-PAY-001, E2E-ADR-001, E2E-INV-001</t>
  </si>
  <si>
    <t>UI automation logs + SQL Order Integrity queries</t>
  </si>
  <si>
    <t>Calculate order total (items x price + tax)</t>
  </si>
  <si>
    <t>UI-ORD-003, UI-XBR-004, UI-XBR-005</t>
  </si>
  <si>
    <t>API-ORD-003</t>
  </si>
  <si>
    <t>DB-ORD-002</t>
  </si>
  <si>
    <t>E2E-ORD-001</t>
  </si>
  <si>
    <t>Apply valid coupon codes for discounts</t>
  </si>
  <si>
    <t>UI-ORD-004, UI-ORD-005</t>
  </si>
  <si>
    <t>API-ORD-004, API-ORD-005</t>
  </si>
  <si>
    <t>Modify order pre-payment (change quantity, address)</t>
  </si>
  <si>
    <t>UI-ORD-006, UI-ORD-007</t>
  </si>
  <si>
    <t>API-ORD-006</t>
  </si>
  <si>
    <t>E2E-ADR-001</t>
  </si>
  <si>
    <t>Cannot modify order post-payment</t>
  </si>
  <si>
    <t>UI-ORD-008</t>
  </si>
  <si>
    <t>API-ORD-007</t>
  </si>
  <si>
    <t>DB-ORD-004</t>
  </si>
  <si>
    <t>Cancel order returns inventory</t>
  </si>
  <si>
    <t>UI-ORD-009</t>
  </si>
  <si>
    <t>API-ORD-008</t>
  </si>
  <si>
    <t>DB-ORD-004, DB-INV-003</t>
  </si>
  <si>
    <t>E2E-INV-001</t>
  </si>
  <si>
    <t>Idempotency (no duplicate orders)</t>
  </si>
  <si>
    <t>UI-ORD-010</t>
  </si>
  <si>
    <t>API-ORD-009, API-ERR-003</t>
  </si>
  <si>
    <t>DB-ORD-003</t>
  </si>
  <si>
    <t>Credit card validation (format, expiry, CVV)</t>
  </si>
  <si>
    <t>UI-PAY-002, UI-PAY-003, UI-PAY-004</t>
  </si>
  <si>
    <t>API-PAY-002, API-PAY-003, API-PAY-004</t>
  </si>
  <si>
    <t>E2E-PAY-001</t>
  </si>
  <si>
    <t>Transaction status records + Payment ledger SQL verification</t>
  </si>
  <si>
    <t>Payment authorization succeeds for valid cards</t>
  </si>
  <si>
    <t>UI-PAY-001</t>
  </si>
  <si>
    <t>API-PAY-001</t>
  </si>
  <si>
    <t>DB-PAY-002</t>
  </si>
  <si>
    <t>Payment declined gracefully for invalid cards</t>
  </si>
  <si>
    <t>UI-PAY-005</t>
  </si>
  <si>
    <t>API-PAY-005</t>
  </si>
  <si>
    <t>DB-PAY-003</t>
  </si>
  <si>
    <t>No double-charging (duplicate prevention)</t>
  </si>
  <si>
    <t>UI-PAY-006</t>
  </si>
  <si>
    <t>API-PAY-006</t>
  </si>
  <si>
    <t>DB-PAY-001</t>
  </si>
  <si>
    <t>Refund functionality works correctly</t>
  </si>
  <si>
    <t>API-PAY-007, API-PAY-008</t>
  </si>
  <si>
    <t>DB-PAY-004</t>
  </si>
  <si>
    <t>E2E-RE001</t>
  </si>
  <si>
    <t>Shipment &amp; Delivery Tracking</t>
  </si>
  <si>
    <t>Shipment created after payment confirmed</t>
  </si>
  <si>
    <t>UI-DEL-004</t>
  </si>
  <si>
    <t>API-SHP-001, API-SHP-002</t>
  </si>
  <si>
    <t>DB-SHP-001</t>
  </si>
  <si>
    <t>E2E-ORD-001, E2E-PAY-001, E2E-ADR-001</t>
  </si>
  <si>
    <t>Tracking status flow logs + SMS/Email notification logs</t>
  </si>
  <si>
    <t>Tracking number assigned and visible</t>
  </si>
  <si>
    <t>UI-DEL-001, UI-DEL-005, UI-XBR-006</t>
  </si>
  <si>
    <t>API-SHP-003, API-DEL-001</t>
  </si>
  <si>
    <t>DB-SHP-002</t>
  </si>
  <si>
    <t>E2E-ORD-001, E2E-ADR-001</t>
  </si>
  <si>
    <t>Status updates correctly (Shipped -&gt; Delivered)</t>
  </si>
  <si>
    <t>UI-DEL-002, UI-DEL-003, UI-XBR-006</t>
  </si>
  <si>
    <t>API-SHP-004, API-SHP-005, API-DEL-001, API-DEL-002</t>
  </si>
  <si>
    <t>DB-SHP-003</t>
  </si>
  <si>
    <t>Customer notifications (SMS/Email) triggered</t>
  </si>
  <si>
    <t>API-SHP-006, API-DEL-004</t>
  </si>
  <si>
    <t>DB-AUD-003</t>
  </si>
  <si>
    <t>Proof of delivery (POD) recorded</t>
  </si>
  <si>
    <t>UI-DEL-006</t>
  </si>
  <si>
    <t>API-DEL-003</t>
  </si>
  <si>
    <t>DB-SHP-004</t>
  </si>
  <si>
    <t>Returns &amp; Refunds Processing</t>
  </si>
  <si>
    <t>Return window enforcement (30 days)</t>
  </si>
  <si>
    <t>UI-RE001, UI-RE002</t>
  </si>
  <si>
    <t>API-RE001, API-RE004</t>
  </si>
  <si>
    <t>Return workflow logs + Stock restoration SQL validation</t>
  </si>
  <si>
    <t>Refund amount calculated correctly</t>
  </si>
  <si>
    <t>UI-RE003</t>
  </si>
  <si>
    <t>API-RE002, API-RE004</t>
  </si>
  <si>
    <t>Refund issued to original payment method</t>
  </si>
  <si>
    <t>UI-RE004</t>
  </si>
  <si>
    <t>API-RE003</t>
  </si>
  <si>
    <t>Inventory restored upon return receipt</t>
  </si>
  <si>
    <t>DB-INV-004</t>
  </si>
  <si>
    <t>E2E-RE001, E2E-INV-001</t>
  </si>
  <si>
    <t>Audit trail completeness</t>
  </si>
  <si>
    <t>DB-AUD-001, DB-AUD-002</t>
  </si>
  <si>
    <t>Dashboard &amp; Account Management</t>
  </si>
  <si>
    <t>Order history displays with pagination</t>
  </si>
  <si>
    <t>UI-DASH-001</t>
  </si>
  <si>
    <t>API-ORD-010</t>
  </si>
  <si>
    <t>Dashboard UI screenshots + User profile API response logs</t>
  </si>
  <si>
    <t>Filter by date range, status, price</t>
  </si>
  <si>
    <t>UI-DASH-002</t>
  </si>
  <si>
    <t>Manage saved addresses</t>
  </si>
  <si>
    <t>UI-DASH-003</t>
  </si>
  <si>
    <t>API-ERR-004</t>
  </si>
  <si>
    <t>Update profile (name, email, phone)</t>
  </si>
  <si>
    <t>UI-DASH-004</t>
  </si>
  <si>
    <t>Data Consistency &amp; Cross-Layer Validation</t>
  </si>
  <si>
    <t>UI displays data matching API response</t>
  </si>
  <si>
    <t>E2E-ORD-001, E2E-PAY-001, E2E-ADR-001, E2E-RE001, E2E-INV-001</t>
  </si>
  <si>
    <t>Cross-layer trace maps + Reconciliation reports</t>
  </si>
  <si>
    <t>API response matches DB records</t>
  </si>
  <si>
    <t>DB-ORD-001, DB-INV-002</t>
  </si>
  <si>
    <t>E2E-ORD-001, E2E-ADR-001, E2E-RE001, E2E-INV-001</t>
  </si>
  <si>
    <t>Transaction completeness (all-or-nothing)</t>
  </si>
  <si>
    <t>DB-ORD-001, DB-AUD-004</t>
  </si>
  <si>
    <t>E2E-PAY-001, E2E-INV-001</t>
  </si>
  <si>
    <t>Balance calculations consistent (UI = API = DB)</t>
  </si>
  <si>
    <t>DB-ORD-002, DB-PAY-002, DB-INV-002</t>
  </si>
  <si>
    <t>E2E-ORD-001, E2E-PAY-001, E2E-RE001, E2E-INV-001</t>
  </si>
  <si>
    <t>Coverage Analysis &amp; Exit-Criteria Tracker</t>
  </si>
  <si>
    <t>All figures are formulas reading 'Test Cases' and 'RTM'. Blue text = targets taken from the brief (sections 2.2 and 9.1).</t>
  </si>
  <si>
    <t>1. Test counts and pass rate by layer</t>
  </si>
  <si>
    <t>Target</t>
  </si>
  <si>
    <t>Variance</t>
  </si>
  <si>
    <t>Pass %</t>
  </si>
  <si>
    <t>Required Pass %</t>
  </si>
  <si>
    <t>Layer tests (UI + API + SQL)</t>
  </si>
  <si>
    <t>2. Test counts by feature (targets from brief section 2.2)</t>
  </si>
  <si>
    <t>3. Requirement coverage (RTM)</t>
  </si>
  <si>
    <t>ACs</t>
  </si>
  <si>
    <t>ACs Covered</t>
  </si>
  <si>
    <t>Coverage %</t>
  </si>
  <si>
    <t>Tests Mapped</t>
  </si>
  <si>
    <t>FR-001 User Authentication &amp; Session Management</t>
  </si>
  <si>
    <t>FR-002 Order Management</t>
  </si>
  <si>
    <t>FR-003 Payment Processing</t>
  </si>
  <si>
    <t>FR-004 Shipment &amp; Delivery Tracking</t>
  </si>
  <si>
    <t>FR-005 Returns &amp; Refunds Processing</t>
  </si>
  <si>
    <t>FR-006 Dashboard &amp; Account Management</t>
  </si>
  <si>
    <t>FR-007 Data Consistency &amp; Cross-Layer Validation</t>
  </si>
  <si>
    <t>All requirements</t>
  </si>
  <si>
    <t>Note: 'Tests Mapped' counts a test once per acceptance criterion it covers, so it exceeds the number of test cases.</t>
  </si>
  <si>
    <t>4. Exit-criteria check (brief section 9.1)</t>
  </si>
  <si>
    <t>Criterion</t>
  </si>
  <si>
    <t>Required</t>
  </si>
  <si>
    <t>Actual</t>
  </si>
  <si>
    <t>Status</t>
  </si>
  <si>
    <t>Cypress UI tests planned</t>
  </si>
  <si>
    <t>Cypress pass rate</t>
  </si>
  <si>
    <t>Postman API tests planned</t>
  </si>
  <si>
    <t>Postman pass rate</t>
  </si>
  <si>
    <t>SQL validation queries planned</t>
  </si>
  <si>
    <t>SQL pass rate (0 violations)</t>
  </si>
  <si>
    <t>E2E scenarios planned</t>
  </si>
  <si>
    <t>E2E pass rate</t>
  </si>
  <si>
    <t>Acceptance criteria covered in RTM</t>
  </si>
  <si>
    <t>Pass-rate rows show 0% until tests have been executed; they will read 'Not met' until results are logged.</t>
  </si>
  <si>
    <t>cypress/e2e/auth.cy.js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</si>
</sst>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color rgb="FF1F3864"/>
      <name val="Arial"/>
      <charset val="1"/>
    </font>
    <font>
      <sz val="10"/>
      <name val="Arial"/>
      <charset val="1"/>
    </font>
    <font>
      <b/>
      <sz val="10"/>
      <color rgb="FFFFFFFF"/>
      <name val="Arial"/>
      <charset val="1"/>
    </font>
    <font>
      <b/>
      <sz val="10"/>
      <name val="Arial"/>
      <charset val="1"/>
    </font>
    <font>
      <sz val="10"/>
      <color rgb="FF0000FF"/>
      <name val="Arial"/>
      <charset val="1"/>
    </font>
    <font>
      <sz val="10"/>
      <color rgb="FF808080"/>
      <name val="Arial"/>
      <charset val="1"/>
    </font>
    <font>
      <i/>
      <sz val="9"/>
      <name val="Arial"/>
      <charset val="1"/>
    </font>
  </fonts>
  <fills count="10">
    <fill>
      <patternFill patternType="none"/>
    </fill>
    <fill>
      <patternFill patternType="gray125"/>
    </fill>
    <fill>
      <patternFill patternType="solid">
        <fgColor rgb="FF1F3864"/>
        <bgColor rgb="FF333333"/>
      </patternFill>
    </fill>
    <fill>
      <patternFill patternType="solid">
        <fgColor rgb="FFBF8F00"/>
        <bgColor rgb="FF9C5700"/>
      </patternFill>
    </fill>
    <fill>
      <patternFill patternType="solid">
        <fgColor rgb="FFE2EFDA"/>
        <bgColor rgb="FFDDEBF7"/>
      </patternFill>
    </fill>
    <fill>
      <patternFill patternType="solid">
        <fgColor rgb="FFFFF2CC"/>
        <bgColor rgb="FFFCE4D6"/>
      </patternFill>
    </fill>
    <fill>
      <patternFill patternType="solid">
        <fgColor rgb="FFDDEBF7"/>
        <bgColor rgb="FFD9E2F3"/>
      </patternFill>
    </fill>
    <fill>
      <patternFill patternType="solid">
        <fgColor rgb="FFFCE4D6"/>
        <bgColor rgb="FFFFF2CC"/>
      </patternFill>
    </fill>
    <fill>
      <patternFill patternType="solid">
        <fgColor rgb="FFE4DFEC"/>
        <bgColor rgb="FFD9E2F3"/>
      </patternFill>
    </fill>
    <fill>
      <patternFill patternType="solid">
        <fgColor rgb="FFD9E2F3"/>
        <bgColor rgb="FFE4DFE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vertical="top" wrapText="1"/>
    </xf>
    <xf numFmtId="0" fontId="2" fillId="4" borderId="1" xfId="0" applyFont="1" applyFill="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xf numFmtId="0" fontId="2" fillId="6"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2" fillId="9" borderId="1" xfId="0" applyFont="1" applyFill="1" applyBorder="1" applyAlignment="1">
      <alignment vertical="top" wrapText="1"/>
    </xf>
    <xf numFmtId="0" fontId="4" fillId="0" borderId="0" xfId="0" applyFont="1"/>
    <xf numFmtId="0" fontId="2" fillId="0" borderId="1" xfId="0" applyFont="1" applyBorder="1" applyAlignment="1">
      <alignment vertical="top"/>
    </xf>
    <xf numFmtId="0" fontId="5" fillId="0" borderId="1" xfId="0" applyFont="1" applyBorder="1" applyAlignment="1">
      <alignment horizontal="center" vertical="top" wrapText="1"/>
    </xf>
    <xf numFmtId="164" fontId="2" fillId="0" borderId="1" xfId="0" applyNumberFormat="1" applyFont="1" applyBorder="1" applyAlignment="1">
      <alignment horizontal="center" vertical="top" wrapText="1"/>
    </xf>
    <xf numFmtId="9" fontId="5" fillId="0" borderId="1" xfId="0" applyNumberFormat="1" applyFont="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horizontal="center" vertical="top" wrapText="1"/>
    </xf>
    <xf numFmtId="164" fontId="4" fillId="0" borderId="1" xfId="0" applyNumberFormat="1" applyFont="1" applyBorder="1" applyAlignment="1">
      <alignment horizontal="center" vertical="top" wrapText="1"/>
    </xf>
    <xf numFmtId="9" fontId="4" fillId="0" borderId="1" xfId="0" applyNumberFormat="1" applyFont="1" applyBorder="1" applyAlignment="1">
      <alignment horizontal="center" vertical="top" wrapText="1"/>
    </xf>
    <xf numFmtId="0" fontId="6" fillId="0" borderId="1" xfId="0" applyFont="1" applyBorder="1" applyAlignment="1">
      <alignment vertical="top"/>
    </xf>
    <xf numFmtId="9" fontId="2" fillId="0" borderId="1" xfId="0" applyNumberFormat="1" applyFont="1" applyBorder="1" applyAlignment="1">
      <alignment horizontal="center" vertical="top" wrapText="1"/>
    </xf>
    <xf numFmtId="0" fontId="7" fillId="0" borderId="0" xfId="0" applyFont="1"/>
  </cellXfs>
  <cellStyles count="1">
    <cellStyle name="Normal" xfId="0" builtinId="0"/>
  </cellStyles>
  <dxfs count="15">
    <dxf>
      <fill>
        <patternFill>
          <bgColor rgb="FFFFC7CE"/>
        </patternFill>
      </fill>
    </dxf>
    <dxf>
      <fill>
        <patternFill>
          <bgColor rgb="FFC6EFCE"/>
        </patternFill>
      </fill>
    </dxf>
    <dxf>
      <font>
        <b/>
        <color rgb="FF9C0006"/>
        <name val="Arial"/>
        <charset val="1"/>
      </font>
    </dxf>
    <dxf>
      <fill>
        <patternFill>
          <bgColor rgb="FFFFEB9C"/>
        </patternFill>
      </fill>
    </dxf>
    <dxf>
      <fill>
        <patternFill>
          <bgColor rgb="FFFFC7CE"/>
        </patternFill>
      </fill>
    </dxf>
    <dxf>
      <fill>
        <patternFill>
          <bgColor rgb="FFC6EFCE"/>
        </patternFill>
      </fill>
    </dxf>
    <dxf>
      <font>
        <color rgb="FF006100"/>
        <name val="Arial"/>
        <charset val="1"/>
      </font>
      <fill>
        <patternFill>
          <bgColor rgb="FFC6EFCE"/>
        </patternFill>
      </fill>
    </dxf>
    <dxf>
      <font>
        <b/>
        <color rgb="FF9C0006"/>
        <name val="Arial"/>
        <charset val="1"/>
      </font>
      <fill>
        <patternFill>
          <bgColor rgb="FFFFC7CE"/>
        </patternFill>
      </fill>
    </dxf>
    <dxf>
      <fill>
        <patternFill>
          <bgColor rgb="FFFFEB9C"/>
        </patternFill>
      </fill>
    </dxf>
    <dxf>
      <fill>
        <patternFill>
          <bgColor rgb="FFFFC7CE"/>
        </patternFill>
      </fill>
    </dxf>
    <dxf>
      <fill>
        <patternFill>
          <bgColor rgb="FFC6EFCE"/>
        </patternFill>
      </fill>
    </dxf>
    <dxf>
      <fill>
        <patternFill>
          <bgColor rgb="FFD9D9D9"/>
        </patternFill>
      </fill>
    </dxf>
    <dxf>
      <font>
        <color rgb="FF9C5700"/>
        <name val="Arial"/>
        <charset val="1"/>
      </font>
      <fill>
        <patternFill>
          <bgColor rgb="FFFFEB9C"/>
        </patternFill>
      </fill>
    </dxf>
    <dxf>
      <font>
        <color rgb="FF9C0006"/>
        <name val="Arial"/>
        <charset val="1"/>
      </font>
      <fill>
        <patternFill>
          <bgColor rgb="FFFFC7CE"/>
        </patternFill>
      </fill>
    </dxf>
    <dxf>
      <font>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D9E2F3"/>
      <rgbColor rgb="FFFCE4D6"/>
      <rgbColor rgb="FFE4DFEC"/>
      <rgbColor rgb="FFFFC7CE"/>
      <rgbColor rgb="FF3366FF"/>
      <rgbColor rgb="FF33CCCC"/>
      <rgbColor rgb="FF99CC00"/>
      <rgbColor rgb="FFFFCC00"/>
      <rgbColor rgb="FFBF8F00"/>
      <rgbColor rgb="FFFF6600"/>
      <rgbColor rgb="FF666699"/>
      <rgbColor rgb="FF969696"/>
      <rgbColor rgb="FF1F3864"/>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2"/>
  <sheetViews>
    <sheetView showGridLines="0" zoomScaleNormal="100" workbookViewId="0"/>
  </sheetViews>
  <sheetFormatPr defaultColWidth="8.6640625" defaultRowHeight="14.4" x14ac:dyDescent="0.3"/>
  <cols>
    <col min="1" max="1" width="3" customWidth="1"/>
    <col min="2" max="2" width="28" customWidth="1"/>
    <col min="3" max="3" width="110" customWidth="1"/>
  </cols>
  <sheetData>
    <row r="2" spans="2:3" ht="17.399999999999999" x14ac:dyDescent="0.3">
      <c r="B2" s="1" t="s">
        <v>0</v>
      </c>
    </row>
    <row r="3" spans="2:3" x14ac:dyDescent="0.3">
      <c r="B3" s="2" t="s">
        <v>1</v>
      </c>
    </row>
    <row r="5" spans="2:3" x14ac:dyDescent="0.3">
      <c r="B5" s="3" t="s">
        <v>2</v>
      </c>
      <c r="C5" s="4"/>
    </row>
    <row r="6" spans="2:3" x14ac:dyDescent="0.3">
      <c r="B6" s="5" t="s">
        <v>3</v>
      </c>
      <c r="C6" s="6" t="s">
        <v>4</v>
      </c>
    </row>
    <row r="7" spans="2:3" x14ac:dyDescent="0.3">
      <c r="B7" s="5" t="s">
        <v>5</v>
      </c>
      <c r="C7" s="6" t="s">
        <v>6</v>
      </c>
    </row>
    <row r="8" spans="2:3" ht="26.4" x14ac:dyDescent="0.3">
      <c r="B8" s="5" t="s">
        <v>7</v>
      </c>
      <c r="C8" s="6" t="s">
        <v>8</v>
      </c>
    </row>
    <row r="9" spans="2:3" x14ac:dyDescent="0.3">
      <c r="B9" s="5" t="s">
        <v>9</v>
      </c>
      <c r="C9" s="6" t="s">
        <v>10</v>
      </c>
    </row>
    <row r="11" spans="2:3" x14ac:dyDescent="0.3">
      <c r="B11" s="3" t="s">
        <v>11</v>
      </c>
      <c r="C11" s="4"/>
    </row>
    <row r="12" spans="2:3" x14ac:dyDescent="0.3">
      <c r="B12" s="5" t="s">
        <v>12</v>
      </c>
      <c r="C12" s="6" t="s">
        <v>13</v>
      </c>
    </row>
    <row r="13" spans="2:3" x14ac:dyDescent="0.3">
      <c r="B13" s="5" t="s">
        <v>14</v>
      </c>
      <c r="C13" s="6" t="s">
        <v>15</v>
      </c>
    </row>
    <row r="14" spans="2:3" x14ac:dyDescent="0.3">
      <c r="B14" s="5" t="s">
        <v>16</v>
      </c>
      <c r="C14" s="6" t="s">
        <v>17</v>
      </c>
    </row>
    <row r="15" spans="2:3" x14ac:dyDescent="0.3">
      <c r="B15" s="5" t="s">
        <v>18</v>
      </c>
      <c r="C15" s="6" t="s">
        <v>19</v>
      </c>
    </row>
    <row r="16" spans="2:3" x14ac:dyDescent="0.3">
      <c r="B16" s="5" t="s">
        <v>20</v>
      </c>
      <c r="C16" s="6" t="s">
        <v>21</v>
      </c>
    </row>
    <row r="17" spans="2:3" x14ac:dyDescent="0.3">
      <c r="B17" s="5" t="s">
        <v>22</v>
      </c>
      <c r="C17" s="6" t="s">
        <v>23</v>
      </c>
    </row>
    <row r="18" spans="2:3" x14ac:dyDescent="0.3">
      <c r="B18" s="5" t="s">
        <v>24</v>
      </c>
      <c r="C18" s="6" t="s">
        <v>25</v>
      </c>
    </row>
    <row r="20" spans="2:3" x14ac:dyDescent="0.3">
      <c r="B20" s="3" t="s">
        <v>26</v>
      </c>
      <c r="C20" s="4"/>
    </row>
    <row r="21" spans="2:3" ht="39.6" x14ac:dyDescent="0.3">
      <c r="B21" s="5" t="s">
        <v>27</v>
      </c>
      <c r="C21" s="6" t="s">
        <v>28</v>
      </c>
    </row>
    <row r="22" spans="2:3" ht="26.4" x14ac:dyDescent="0.3">
      <c r="B22" s="5" t="s">
        <v>29</v>
      </c>
      <c r="C22" s="6" t="s">
        <v>30</v>
      </c>
    </row>
    <row r="23" spans="2:3" ht="26.4" x14ac:dyDescent="0.3">
      <c r="B23" s="5" t="s">
        <v>31</v>
      </c>
      <c r="C23" s="6" t="s">
        <v>32</v>
      </c>
    </row>
    <row r="24" spans="2:3" x14ac:dyDescent="0.3">
      <c r="B24" s="5" t="s">
        <v>33</v>
      </c>
      <c r="C24" s="6" t="s">
        <v>34</v>
      </c>
    </row>
    <row r="25" spans="2:3" ht="26.4" x14ac:dyDescent="0.3">
      <c r="B25" s="5" t="s">
        <v>35</v>
      </c>
      <c r="C25" s="6" t="s">
        <v>36</v>
      </c>
    </row>
    <row r="26" spans="2:3" ht="26.4" x14ac:dyDescent="0.3">
      <c r="B26" s="5" t="s">
        <v>37</v>
      </c>
      <c r="C26" s="6" t="s">
        <v>38</v>
      </c>
    </row>
    <row r="27" spans="2:3" ht="26.4" x14ac:dyDescent="0.3">
      <c r="B27" s="5" t="s">
        <v>39</v>
      </c>
      <c r="C27" s="6" t="s">
        <v>40</v>
      </c>
    </row>
    <row r="28" spans="2:3" x14ac:dyDescent="0.3">
      <c r="B28" s="5" t="s">
        <v>41</v>
      </c>
      <c r="C28" s="6" t="s">
        <v>42</v>
      </c>
    </row>
    <row r="30" spans="2:3" x14ac:dyDescent="0.3">
      <c r="B30" s="3" t="s">
        <v>43</v>
      </c>
      <c r="C30" s="4"/>
    </row>
    <row r="31" spans="2:3" x14ac:dyDescent="0.3">
      <c r="B31" s="5" t="s">
        <v>44</v>
      </c>
      <c r="C31" s="6" t="s">
        <v>45</v>
      </c>
    </row>
    <row r="32" spans="2:3" x14ac:dyDescent="0.3">
      <c r="B32" s="5" t="s">
        <v>46</v>
      </c>
      <c r="C32" s="6" t="s">
        <v>47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T106"/>
  <sheetViews>
    <sheetView tabSelected="1" zoomScaleNormal="100" workbookViewId="0">
      <pane xSplit="2" ySplit="1" topLeftCell="C40" activePane="bottomRight" state="frozen"/>
      <selection pane="topRight" activeCell="C1" sqref="C1"/>
      <selection pane="bottomLeft" activeCell="A2" sqref="A2"/>
      <selection pane="bottomRight" activeCell="M5" sqref="M5"/>
    </sheetView>
  </sheetViews>
  <sheetFormatPr defaultColWidth="8.6640625" defaultRowHeight="14.4" x14ac:dyDescent="0.3"/>
  <cols>
    <col min="1" max="1" width="17" customWidth="1"/>
    <col min="2" max="2" width="14" customWidth="1"/>
    <col min="3" max="3" width="22" customWidth="1"/>
    <col min="4" max="4" width="10" customWidth="1"/>
    <col min="5" max="5" width="18" customWidth="1"/>
    <col min="6" max="6" width="8" customWidth="1"/>
    <col min="7" max="7" width="14" customWidth="1"/>
    <col min="8" max="8" width="42" customWidth="1"/>
    <col min="9" max="9" width="34" customWidth="1"/>
    <col min="10" max="10" width="50" customWidth="1"/>
    <col min="11" max="11" width="24" customWidth="1"/>
    <col min="12" max="12" width="48" customWidth="1"/>
    <col min="13" max="13" width="26" customWidth="1"/>
    <col min="14" max="14" width="14" customWidth="1"/>
    <col min="15" max="17" width="13" customWidth="1"/>
    <col min="18" max="18" width="12" customWidth="1"/>
    <col min="19" max="19" width="22" customWidth="1"/>
    <col min="20" max="20" width="12" customWidth="1"/>
  </cols>
  <sheetData>
    <row r="1" spans="1:20" ht="31.5" customHeight="1" x14ac:dyDescent="0.3">
      <c r="A1" s="7" t="s">
        <v>48</v>
      </c>
      <c r="B1" s="7" t="s">
        <v>49</v>
      </c>
      <c r="C1" s="7" t="s">
        <v>50</v>
      </c>
      <c r="D1" s="7" t="s">
        <v>51</v>
      </c>
      <c r="E1" s="7" t="s">
        <v>52</v>
      </c>
      <c r="F1" s="7" t="s">
        <v>53</v>
      </c>
      <c r="G1" s="7" t="s">
        <v>54</v>
      </c>
      <c r="H1" s="7" t="s">
        <v>55</v>
      </c>
      <c r="I1" s="7" t="s">
        <v>56</v>
      </c>
      <c r="J1" s="7" t="s">
        <v>57</v>
      </c>
      <c r="K1" s="7" t="s">
        <v>58</v>
      </c>
      <c r="L1" s="7" t="s">
        <v>59</v>
      </c>
      <c r="M1" s="7" t="s">
        <v>60</v>
      </c>
      <c r="N1" s="8" t="s">
        <v>12</v>
      </c>
      <c r="O1" s="8" t="s">
        <v>14</v>
      </c>
      <c r="P1" s="8" t="s">
        <v>61</v>
      </c>
      <c r="Q1" s="8" t="s">
        <v>62</v>
      </c>
      <c r="R1" s="8" t="s">
        <v>18</v>
      </c>
      <c r="S1" s="8" t="s">
        <v>20</v>
      </c>
      <c r="T1" s="8" t="s">
        <v>22</v>
      </c>
    </row>
    <row r="2" spans="1:20" ht="39.6" x14ac:dyDescent="0.3">
      <c r="A2" s="9" t="s">
        <v>63</v>
      </c>
      <c r="B2" s="10" t="s">
        <v>64</v>
      </c>
      <c r="C2" s="11" t="s">
        <v>65</v>
      </c>
      <c r="D2" s="12" t="s">
        <v>66</v>
      </c>
      <c r="E2" s="11" t="s">
        <v>67</v>
      </c>
      <c r="F2" s="12" t="s">
        <v>68</v>
      </c>
      <c r="G2" s="11" t="s">
        <v>69</v>
      </c>
      <c r="H2" s="11" t="s">
        <v>70</v>
      </c>
      <c r="I2" s="11" t="s">
        <v>71</v>
      </c>
      <c r="J2" s="11" t="s">
        <v>72</v>
      </c>
      <c r="K2" s="11" t="s">
        <v>73</v>
      </c>
      <c r="L2" s="11" t="s">
        <v>74</v>
      </c>
      <c r="M2" s="11" t="s">
        <v>984</v>
      </c>
      <c r="N2" s="13" t="s">
        <v>76</v>
      </c>
      <c r="O2" s="13" t="s">
        <v>77</v>
      </c>
      <c r="P2" s="14"/>
      <c r="Q2" s="13"/>
      <c r="R2" s="14"/>
      <c r="S2" s="14"/>
      <c r="T2" s="14"/>
    </row>
    <row r="3" spans="1:20" ht="66" x14ac:dyDescent="0.3">
      <c r="A3" s="9" t="s">
        <v>78</v>
      </c>
      <c r="B3" s="10" t="s">
        <v>64</v>
      </c>
      <c r="C3" s="11" t="s">
        <v>65</v>
      </c>
      <c r="D3" s="12" t="s">
        <v>66</v>
      </c>
      <c r="E3" s="11" t="s">
        <v>79</v>
      </c>
      <c r="F3" s="12" t="s">
        <v>68</v>
      </c>
      <c r="G3" s="11" t="s">
        <v>80</v>
      </c>
      <c r="H3" s="11" t="s">
        <v>81</v>
      </c>
      <c r="I3" s="11" t="s">
        <v>71</v>
      </c>
      <c r="J3" s="11" t="s">
        <v>82</v>
      </c>
      <c r="K3" s="11" t="s">
        <v>83</v>
      </c>
      <c r="L3" s="11" t="s">
        <v>84</v>
      </c>
      <c r="M3" s="11" t="s">
        <v>75</v>
      </c>
      <c r="N3" s="13" t="s">
        <v>76</v>
      </c>
      <c r="O3" s="13" t="s">
        <v>77</v>
      </c>
      <c r="P3" s="14"/>
      <c r="Q3" s="13"/>
      <c r="R3" s="14"/>
      <c r="S3" s="14"/>
      <c r="T3" s="14"/>
    </row>
    <row r="4" spans="1:20" ht="39.6" x14ac:dyDescent="0.3">
      <c r="A4" s="9" t="s">
        <v>85</v>
      </c>
      <c r="B4" s="10" t="s">
        <v>64</v>
      </c>
      <c r="C4" s="11" t="s">
        <v>65</v>
      </c>
      <c r="D4" s="12" t="s">
        <v>66</v>
      </c>
      <c r="E4" s="11" t="s">
        <v>86</v>
      </c>
      <c r="F4" s="12" t="s">
        <v>68</v>
      </c>
      <c r="G4" s="11" t="s">
        <v>69</v>
      </c>
      <c r="H4" s="11" t="s">
        <v>87</v>
      </c>
      <c r="I4" s="11" t="s">
        <v>71</v>
      </c>
      <c r="J4" s="11" t="s">
        <v>88</v>
      </c>
      <c r="K4" s="11"/>
      <c r="L4" s="11" t="s">
        <v>89</v>
      </c>
      <c r="M4" s="11" t="s">
        <v>984</v>
      </c>
      <c r="N4" s="13" t="s">
        <v>76</v>
      </c>
      <c r="O4" s="13" t="s">
        <v>77</v>
      </c>
      <c r="P4" s="14"/>
      <c r="Q4" s="13"/>
      <c r="R4" s="14"/>
      <c r="S4" s="14"/>
      <c r="T4" s="14"/>
    </row>
    <row r="5" spans="1:20" ht="66" x14ac:dyDescent="0.3">
      <c r="A5" s="9" t="s">
        <v>90</v>
      </c>
      <c r="B5" s="10" t="s">
        <v>64</v>
      </c>
      <c r="C5" s="11" t="s">
        <v>65</v>
      </c>
      <c r="D5" s="12" t="s">
        <v>66</v>
      </c>
      <c r="E5" s="11" t="s">
        <v>91</v>
      </c>
      <c r="F5" s="12" t="s">
        <v>68</v>
      </c>
      <c r="G5" s="11" t="s">
        <v>92</v>
      </c>
      <c r="H5" s="11" t="s">
        <v>93</v>
      </c>
      <c r="I5" s="11" t="s">
        <v>71</v>
      </c>
      <c r="J5" s="11" t="s">
        <v>94</v>
      </c>
      <c r="K5" s="11" t="s">
        <v>95</v>
      </c>
      <c r="L5" s="11" t="s">
        <v>96</v>
      </c>
      <c r="M5" s="11" t="s">
        <v>75</v>
      </c>
      <c r="N5" s="13" t="s">
        <v>76</v>
      </c>
      <c r="O5" s="13" t="s">
        <v>77</v>
      </c>
      <c r="P5" s="14"/>
      <c r="Q5" s="13"/>
      <c r="R5" s="14"/>
      <c r="S5" s="14"/>
      <c r="T5" s="14"/>
    </row>
    <row r="6" spans="1:20" ht="52.8" x14ac:dyDescent="0.3">
      <c r="A6" s="9" t="s">
        <v>97</v>
      </c>
      <c r="B6" s="10" t="s">
        <v>64</v>
      </c>
      <c r="C6" s="11" t="s">
        <v>98</v>
      </c>
      <c r="D6" s="12" t="s">
        <v>99</v>
      </c>
      <c r="E6" s="11" t="s">
        <v>100</v>
      </c>
      <c r="F6" s="12" t="s">
        <v>68</v>
      </c>
      <c r="G6" s="11" t="s">
        <v>69</v>
      </c>
      <c r="H6" s="11" t="s">
        <v>101</v>
      </c>
      <c r="I6" s="11" t="s">
        <v>102</v>
      </c>
      <c r="J6" s="11" t="s">
        <v>103</v>
      </c>
      <c r="K6" s="11" t="s">
        <v>104</v>
      </c>
      <c r="L6" s="11" t="s">
        <v>105</v>
      </c>
      <c r="M6" s="11" t="s">
        <v>106</v>
      </c>
      <c r="N6" s="13" t="s">
        <v>76</v>
      </c>
      <c r="O6" s="13" t="s">
        <v>77</v>
      </c>
      <c r="P6" s="14"/>
      <c r="Q6" s="13"/>
      <c r="R6" s="14"/>
      <c r="S6" s="14"/>
      <c r="T6" s="14"/>
    </row>
    <row r="7" spans="1:20" ht="66" x14ac:dyDescent="0.3">
      <c r="A7" s="9" t="s">
        <v>107</v>
      </c>
      <c r="B7" s="10" t="s">
        <v>64</v>
      </c>
      <c r="C7" s="11" t="s">
        <v>98</v>
      </c>
      <c r="D7" s="12" t="s">
        <v>99</v>
      </c>
      <c r="E7" s="11" t="s">
        <v>100</v>
      </c>
      <c r="F7" s="12" t="s">
        <v>68</v>
      </c>
      <c r="G7" s="11" t="s">
        <v>108</v>
      </c>
      <c r="H7" s="11" t="s">
        <v>109</v>
      </c>
      <c r="I7" s="11" t="s">
        <v>102</v>
      </c>
      <c r="J7" s="11" t="s">
        <v>110</v>
      </c>
      <c r="K7" s="11" t="s">
        <v>111</v>
      </c>
      <c r="L7" s="11" t="s">
        <v>112</v>
      </c>
      <c r="M7" s="11" t="s">
        <v>106</v>
      </c>
      <c r="N7" s="13" t="s">
        <v>76</v>
      </c>
      <c r="O7" s="13" t="s">
        <v>77</v>
      </c>
      <c r="P7" s="14"/>
      <c r="Q7" s="13"/>
      <c r="R7" s="14"/>
      <c r="S7" s="14"/>
      <c r="T7" s="14"/>
    </row>
    <row r="8" spans="1:20" ht="39.6" x14ac:dyDescent="0.3">
      <c r="A8" s="9" t="s">
        <v>113</v>
      </c>
      <c r="B8" s="10" t="s">
        <v>64</v>
      </c>
      <c r="C8" s="11" t="s">
        <v>98</v>
      </c>
      <c r="D8" s="12" t="s">
        <v>99</v>
      </c>
      <c r="E8" s="11" t="s">
        <v>114</v>
      </c>
      <c r="F8" s="12" t="s">
        <v>68</v>
      </c>
      <c r="G8" s="11" t="s">
        <v>69</v>
      </c>
      <c r="H8" s="11" t="s">
        <v>115</v>
      </c>
      <c r="I8" s="11" t="s">
        <v>102</v>
      </c>
      <c r="J8" s="11" t="s">
        <v>116</v>
      </c>
      <c r="K8" s="11" t="s">
        <v>117</v>
      </c>
      <c r="L8" s="11" t="s">
        <v>118</v>
      </c>
      <c r="M8" s="11" t="s">
        <v>106</v>
      </c>
      <c r="N8" s="13" t="s">
        <v>76</v>
      </c>
      <c r="O8" s="13" t="s">
        <v>77</v>
      </c>
      <c r="P8" s="14"/>
      <c r="Q8" s="13"/>
      <c r="R8" s="14"/>
      <c r="S8" s="14"/>
      <c r="T8" s="14"/>
    </row>
    <row r="9" spans="1:20" ht="39.6" x14ac:dyDescent="0.3">
      <c r="A9" s="9" t="s">
        <v>119</v>
      </c>
      <c r="B9" s="10" t="s">
        <v>64</v>
      </c>
      <c r="C9" s="11" t="s">
        <v>98</v>
      </c>
      <c r="D9" s="12" t="s">
        <v>99</v>
      </c>
      <c r="E9" s="11" t="s">
        <v>120</v>
      </c>
      <c r="F9" s="12" t="s">
        <v>68</v>
      </c>
      <c r="G9" s="11" t="s">
        <v>69</v>
      </c>
      <c r="H9" s="11" t="s">
        <v>121</v>
      </c>
      <c r="I9" s="11" t="s">
        <v>102</v>
      </c>
      <c r="J9" s="11" t="s">
        <v>122</v>
      </c>
      <c r="K9" s="11" t="s">
        <v>123</v>
      </c>
      <c r="L9" s="11" t="s">
        <v>124</v>
      </c>
      <c r="M9" s="11" t="s">
        <v>106</v>
      </c>
      <c r="N9" s="13" t="s">
        <v>76</v>
      </c>
      <c r="O9" s="13" t="s">
        <v>77</v>
      </c>
      <c r="P9" s="14"/>
      <c r="Q9" s="13"/>
      <c r="R9" s="14"/>
      <c r="S9" s="14"/>
      <c r="T9" s="14"/>
    </row>
    <row r="10" spans="1:20" ht="52.8" x14ac:dyDescent="0.3">
      <c r="A10" s="9" t="s">
        <v>125</v>
      </c>
      <c r="B10" s="10" t="s">
        <v>64</v>
      </c>
      <c r="C10" s="11" t="s">
        <v>98</v>
      </c>
      <c r="D10" s="12" t="s">
        <v>99</v>
      </c>
      <c r="E10" s="11" t="s">
        <v>120</v>
      </c>
      <c r="F10" s="12" t="s">
        <v>68</v>
      </c>
      <c r="G10" s="11" t="s">
        <v>80</v>
      </c>
      <c r="H10" s="11" t="s">
        <v>126</v>
      </c>
      <c r="I10" s="11" t="s">
        <v>102</v>
      </c>
      <c r="J10" s="11" t="s">
        <v>127</v>
      </c>
      <c r="K10" s="11" t="s">
        <v>128</v>
      </c>
      <c r="L10" s="11" t="s">
        <v>129</v>
      </c>
      <c r="M10" s="11" t="s">
        <v>106</v>
      </c>
      <c r="N10" s="13" t="s">
        <v>76</v>
      </c>
      <c r="O10" s="13" t="s">
        <v>77</v>
      </c>
      <c r="P10" s="14"/>
      <c r="Q10" s="13"/>
      <c r="R10" s="14"/>
      <c r="S10" s="14"/>
      <c r="T10" s="14"/>
    </row>
    <row r="11" spans="1:20" ht="39.6" x14ac:dyDescent="0.3">
      <c r="A11" s="9" t="s">
        <v>130</v>
      </c>
      <c r="B11" s="10" t="s">
        <v>64</v>
      </c>
      <c r="C11" s="11" t="s">
        <v>98</v>
      </c>
      <c r="D11" s="12" t="s">
        <v>99</v>
      </c>
      <c r="E11" s="11" t="s">
        <v>131</v>
      </c>
      <c r="F11" s="12" t="s">
        <v>68</v>
      </c>
      <c r="G11" s="11" t="s">
        <v>69</v>
      </c>
      <c r="H11" s="11" t="s">
        <v>132</v>
      </c>
      <c r="I11" s="11" t="s">
        <v>102</v>
      </c>
      <c r="J11" s="11" t="s">
        <v>133</v>
      </c>
      <c r="K11" s="11"/>
      <c r="L11" s="11" t="s">
        <v>134</v>
      </c>
      <c r="M11" s="11" t="s">
        <v>106</v>
      </c>
      <c r="N11" s="13" t="s">
        <v>76</v>
      </c>
      <c r="O11" s="13" t="s">
        <v>77</v>
      </c>
      <c r="P11" s="14"/>
      <c r="Q11" s="13"/>
      <c r="R11" s="14"/>
      <c r="S11" s="14"/>
      <c r="T11" s="14"/>
    </row>
    <row r="12" spans="1:20" ht="39.6" x14ac:dyDescent="0.3">
      <c r="A12" s="9" t="s">
        <v>135</v>
      </c>
      <c r="B12" s="10" t="s">
        <v>64</v>
      </c>
      <c r="C12" s="11" t="s">
        <v>98</v>
      </c>
      <c r="D12" s="12" t="s">
        <v>99</v>
      </c>
      <c r="E12" s="11" t="s">
        <v>131</v>
      </c>
      <c r="F12" s="12" t="s">
        <v>68</v>
      </c>
      <c r="G12" s="11" t="s">
        <v>69</v>
      </c>
      <c r="H12" s="11" t="s">
        <v>136</v>
      </c>
      <c r="I12" s="11" t="s">
        <v>102</v>
      </c>
      <c r="J12" s="11" t="s">
        <v>137</v>
      </c>
      <c r="K12" s="11"/>
      <c r="L12" s="11" t="s">
        <v>138</v>
      </c>
      <c r="M12" s="11" t="s">
        <v>106</v>
      </c>
      <c r="N12" s="13" t="s">
        <v>76</v>
      </c>
      <c r="O12" s="13" t="s">
        <v>77</v>
      </c>
      <c r="P12" s="14"/>
      <c r="Q12" s="13"/>
      <c r="R12" s="14"/>
      <c r="S12" s="14"/>
      <c r="T12" s="14"/>
    </row>
    <row r="13" spans="1:20" ht="39.6" x14ac:dyDescent="0.3">
      <c r="A13" s="9" t="s">
        <v>139</v>
      </c>
      <c r="B13" s="10" t="s">
        <v>64</v>
      </c>
      <c r="C13" s="11" t="s">
        <v>98</v>
      </c>
      <c r="D13" s="12" t="s">
        <v>99</v>
      </c>
      <c r="E13" s="11" t="s">
        <v>140</v>
      </c>
      <c r="F13" s="12" t="s">
        <v>68</v>
      </c>
      <c r="G13" s="11" t="s">
        <v>80</v>
      </c>
      <c r="H13" s="11" t="s">
        <v>141</v>
      </c>
      <c r="I13" s="11" t="s">
        <v>102</v>
      </c>
      <c r="J13" s="11" t="s">
        <v>142</v>
      </c>
      <c r="K13" s="11"/>
      <c r="L13" s="11" t="s">
        <v>143</v>
      </c>
      <c r="M13" s="11" t="s">
        <v>106</v>
      </c>
      <c r="N13" s="13" t="s">
        <v>76</v>
      </c>
      <c r="O13" s="13" t="s">
        <v>77</v>
      </c>
      <c r="P13" s="14"/>
      <c r="Q13" s="13"/>
      <c r="R13" s="14"/>
      <c r="S13" s="14"/>
      <c r="T13" s="14"/>
    </row>
    <row r="14" spans="1:20" ht="39.6" x14ac:dyDescent="0.3">
      <c r="A14" s="9" t="s">
        <v>144</v>
      </c>
      <c r="B14" s="10" t="s">
        <v>64</v>
      </c>
      <c r="C14" s="11" t="s">
        <v>98</v>
      </c>
      <c r="D14" s="12" t="s">
        <v>99</v>
      </c>
      <c r="E14" s="11" t="s">
        <v>145</v>
      </c>
      <c r="F14" s="12" t="s">
        <v>68</v>
      </c>
      <c r="G14" s="11" t="s">
        <v>69</v>
      </c>
      <c r="H14" s="11" t="s">
        <v>146</v>
      </c>
      <c r="I14" s="11" t="s">
        <v>102</v>
      </c>
      <c r="J14" s="11" t="s">
        <v>147</v>
      </c>
      <c r="K14" s="11"/>
      <c r="L14" s="11" t="s">
        <v>148</v>
      </c>
      <c r="M14" s="11" t="s">
        <v>106</v>
      </c>
      <c r="N14" s="13" t="s">
        <v>76</v>
      </c>
      <c r="O14" s="13" t="s">
        <v>77</v>
      </c>
      <c r="P14" s="14"/>
      <c r="Q14" s="13"/>
      <c r="R14" s="14"/>
      <c r="S14" s="14"/>
      <c r="T14" s="14"/>
    </row>
    <row r="15" spans="1:20" ht="52.8" x14ac:dyDescent="0.3">
      <c r="A15" s="9" t="s">
        <v>149</v>
      </c>
      <c r="B15" s="10" t="s">
        <v>64</v>
      </c>
      <c r="C15" s="11" t="s">
        <v>98</v>
      </c>
      <c r="D15" s="12" t="s">
        <v>99</v>
      </c>
      <c r="E15" s="11" t="s">
        <v>150</v>
      </c>
      <c r="F15" s="12" t="s">
        <v>68</v>
      </c>
      <c r="G15" s="11" t="s">
        <v>80</v>
      </c>
      <c r="H15" s="11" t="s">
        <v>151</v>
      </c>
      <c r="I15" s="11" t="s">
        <v>102</v>
      </c>
      <c r="J15" s="11" t="s">
        <v>152</v>
      </c>
      <c r="K15" s="11"/>
      <c r="L15" s="11" t="s">
        <v>153</v>
      </c>
      <c r="M15" s="11" t="s">
        <v>106</v>
      </c>
      <c r="N15" s="13" t="s">
        <v>76</v>
      </c>
      <c r="O15" s="13" t="s">
        <v>77</v>
      </c>
      <c r="P15" s="14"/>
      <c r="Q15" s="13"/>
      <c r="R15" s="14"/>
      <c r="S15" s="14"/>
      <c r="T15" s="14"/>
    </row>
    <row r="16" spans="1:20" ht="39.6" x14ac:dyDescent="0.3">
      <c r="A16" s="9" t="s">
        <v>154</v>
      </c>
      <c r="B16" s="10" t="s">
        <v>64</v>
      </c>
      <c r="C16" s="11" t="s">
        <v>155</v>
      </c>
      <c r="D16" s="12" t="s">
        <v>156</v>
      </c>
      <c r="E16" s="11" t="s">
        <v>157</v>
      </c>
      <c r="F16" s="12" t="s">
        <v>68</v>
      </c>
      <c r="G16" s="11" t="s">
        <v>69</v>
      </c>
      <c r="H16" s="11" t="s">
        <v>158</v>
      </c>
      <c r="I16" s="11" t="s">
        <v>159</v>
      </c>
      <c r="J16" s="11" t="s">
        <v>160</v>
      </c>
      <c r="K16" s="11" t="s">
        <v>161</v>
      </c>
      <c r="L16" s="11" t="s">
        <v>162</v>
      </c>
      <c r="M16" s="11" t="s">
        <v>163</v>
      </c>
      <c r="N16" s="13" t="s">
        <v>76</v>
      </c>
      <c r="O16" s="13" t="s">
        <v>77</v>
      </c>
      <c r="P16" s="14"/>
      <c r="Q16" s="13"/>
      <c r="R16" s="14"/>
      <c r="S16" s="14"/>
      <c r="T16" s="14"/>
    </row>
    <row r="17" spans="1:20" ht="39.6" x14ac:dyDescent="0.3">
      <c r="A17" s="9" t="s">
        <v>164</v>
      </c>
      <c r="B17" s="10" t="s">
        <v>64</v>
      </c>
      <c r="C17" s="11" t="s">
        <v>155</v>
      </c>
      <c r="D17" s="12" t="s">
        <v>156</v>
      </c>
      <c r="E17" s="11" t="s">
        <v>165</v>
      </c>
      <c r="F17" s="12" t="s">
        <v>68</v>
      </c>
      <c r="G17" s="11" t="s">
        <v>80</v>
      </c>
      <c r="H17" s="11" t="s">
        <v>166</v>
      </c>
      <c r="I17" s="11" t="s">
        <v>159</v>
      </c>
      <c r="J17" s="11" t="s">
        <v>167</v>
      </c>
      <c r="K17" s="11" t="s">
        <v>168</v>
      </c>
      <c r="L17" s="11" t="s">
        <v>169</v>
      </c>
      <c r="M17" s="11" t="s">
        <v>163</v>
      </c>
      <c r="N17" s="13" t="s">
        <v>76</v>
      </c>
      <c r="O17" s="13" t="s">
        <v>77</v>
      </c>
      <c r="P17" s="14"/>
      <c r="Q17" s="13"/>
      <c r="R17" s="14"/>
      <c r="S17" s="14"/>
      <c r="T17" s="14"/>
    </row>
    <row r="18" spans="1:20" ht="39.6" x14ac:dyDescent="0.3">
      <c r="A18" s="9" t="s">
        <v>170</v>
      </c>
      <c r="B18" s="10" t="s">
        <v>64</v>
      </c>
      <c r="C18" s="11" t="s">
        <v>155</v>
      </c>
      <c r="D18" s="12" t="s">
        <v>156</v>
      </c>
      <c r="E18" s="11" t="s">
        <v>165</v>
      </c>
      <c r="F18" s="12" t="s">
        <v>68</v>
      </c>
      <c r="G18" s="11" t="s">
        <v>92</v>
      </c>
      <c r="H18" s="11" t="s">
        <v>171</v>
      </c>
      <c r="I18" s="11" t="s">
        <v>159</v>
      </c>
      <c r="J18" s="11" t="s">
        <v>172</v>
      </c>
      <c r="K18" s="11" t="s">
        <v>173</v>
      </c>
      <c r="L18" s="11" t="s">
        <v>174</v>
      </c>
      <c r="M18" s="11" t="s">
        <v>163</v>
      </c>
      <c r="N18" s="13" t="s">
        <v>76</v>
      </c>
      <c r="O18" s="13" t="s">
        <v>77</v>
      </c>
      <c r="P18" s="14"/>
      <c r="Q18" s="13"/>
      <c r="R18" s="14"/>
      <c r="S18" s="14"/>
      <c r="T18" s="14"/>
    </row>
    <row r="19" spans="1:20" ht="39.6" x14ac:dyDescent="0.3">
      <c r="A19" s="9" t="s">
        <v>175</v>
      </c>
      <c r="B19" s="10" t="s">
        <v>64</v>
      </c>
      <c r="C19" s="11" t="s">
        <v>155</v>
      </c>
      <c r="D19" s="12" t="s">
        <v>156</v>
      </c>
      <c r="E19" s="11" t="s">
        <v>165</v>
      </c>
      <c r="F19" s="12" t="s">
        <v>68</v>
      </c>
      <c r="G19" s="11" t="s">
        <v>80</v>
      </c>
      <c r="H19" s="11" t="s">
        <v>176</v>
      </c>
      <c r="I19" s="11" t="s">
        <v>159</v>
      </c>
      <c r="J19" s="11" t="s">
        <v>177</v>
      </c>
      <c r="K19" s="11"/>
      <c r="L19" s="11" t="s">
        <v>178</v>
      </c>
      <c r="M19" s="11" t="s">
        <v>163</v>
      </c>
      <c r="N19" s="13" t="s">
        <v>76</v>
      </c>
      <c r="O19" s="13" t="s">
        <v>77</v>
      </c>
      <c r="P19" s="14"/>
      <c r="Q19" s="13"/>
      <c r="R19" s="14"/>
      <c r="S19" s="14"/>
      <c r="T19" s="14"/>
    </row>
    <row r="20" spans="1:20" ht="39.6" x14ac:dyDescent="0.3">
      <c r="A20" s="9" t="s">
        <v>179</v>
      </c>
      <c r="B20" s="10" t="s">
        <v>64</v>
      </c>
      <c r="C20" s="11" t="s">
        <v>155</v>
      </c>
      <c r="D20" s="12" t="s">
        <v>156</v>
      </c>
      <c r="E20" s="11" t="s">
        <v>180</v>
      </c>
      <c r="F20" s="12" t="s">
        <v>68</v>
      </c>
      <c r="G20" s="11" t="s">
        <v>80</v>
      </c>
      <c r="H20" s="11" t="s">
        <v>181</v>
      </c>
      <c r="I20" s="11" t="s">
        <v>159</v>
      </c>
      <c r="J20" s="11" t="s">
        <v>182</v>
      </c>
      <c r="K20" s="11" t="s">
        <v>183</v>
      </c>
      <c r="L20" s="11" t="s">
        <v>184</v>
      </c>
      <c r="M20" s="11" t="s">
        <v>163</v>
      </c>
      <c r="N20" s="13" t="s">
        <v>76</v>
      </c>
      <c r="O20" s="13" t="s">
        <v>77</v>
      </c>
      <c r="P20" s="14"/>
      <c r="Q20" s="13"/>
      <c r="R20" s="14"/>
      <c r="S20" s="14"/>
      <c r="T20" s="14"/>
    </row>
    <row r="21" spans="1:20" ht="39.6" x14ac:dyDescent="0.3">
      <c r="A21" s="9" t="s">
        <v>185</v>
      </c>
      <c r="B21" s="10" t="s">
        <v>64</v>
      </c>
      <c r="C21" s="11" t="s">
        <v>155</v>
      </c>
      <c r="D21" s="12" t="s">
        <v>156</v>
      </c>
      <c r="E21" s="11" t="s">
        <v>186</v>
      </c>
      <c r="F21" s="12" t="s">
        <v>68</v>
      </c>
      <c r="G21" s="11" t="s">
        <v>80</v>
      </c>
      <c r="H21" s="11" t="s">
        <v>187</v>
      </c>
      <c r="I21" s="11" t="s">
        <v>159</v>
      </c>
      <c r="J21" s="11" t="s">
        <v>188</v>
      </c>
      <c r="K21" s="11"/>
      <c r="L21" s="11" t="s">
        <v>189</v>
      </c>
      <c r="M21" s="11" t="s">
        <v>163</v>
      </c>
      <c r="N21" s="13" t="s">
        <v>76</v>
      </c>
      <c r="O21" s="13" t="s">
        <v>77</v>
      </c>
      <c r="P21" s="14"/>
      <c r="Q21" s="13"/>
      <c r="R21" s="14"/>
      <c r="S21" s="14"/>
      <c r="T21" s="14"/>
    </row>
    <row r="22" spans="1:20" ht="39.6" x14ac:dyDescent="0.3">
      <c r="A22" s="9" t="s">
        <v>190</v>
      </c>
      <c r="B22" s="10" t="s">
        <v>64</v>
      </c>
      <c r="C22" s="11" t="s">
        <v>191</v>
      </c>
      <c r="D22" s="12" t="s">
        <v>192</v>
      </c>
      <c r="E22" s="11" t="s">
        <v>193</v>
      </c>
      <c r="F22" s="12" t="s">
        <v>68</v>
      </c>
      <c r="G22" s="11" t="s">
        <v>69</v>
      </c>
      <c r="H22" s="11" t="s">
        <v>194</v>
      </c>
      <c r="I22" s="11" t="s">
        <v>195</v>
      </c>
      <c r="J22" s="11" t="s">
        <v>196</v>
      </c>
      <c r="K22" s="11"/>
      <c r="L22" s="11" t="s">
        <v>197</v>
      </c>
      <c r="M22" s="11" t="s">
        <v>198</v>
      </c>
      <c r="N22" s="13" t="s">
        <v>76</v>
      </c>
      <c r="O22" s="13" t="s">
        <v>77</v>
      </c>
      <c r="P22" s="14"/>
      <c r="Q22" s="13"/>
      <c r="R22" s="14"/>
      <c r="S22" s="14"/>
      <c r="T22" s="14"/>
    </row>
    <row r="23" spans="1:20" ht="39.6" x14ac:dyDescent="0.3">
      <c r="A23" s="9" t="s">
        <v>199</v>
      </c>
      <c r="B23" s="10" t="s">
        <v>64</v>
      </c>
      <c r="C23" s="11" t="s">
        <v>191</v>
      </c>
      <c r="D23" s="12" t="s">
        <v>192</v>
      </c>
      <c r="E23" s="11" t="s">
        <v>200</v>
      </c>
      <c r="F23" s="12" t="s">
        <v>68</v>
      </c>
      <c r="G23" s="11" t="s">
        <v>69</v>
      </c>
      <c r="H23" s="11" t="s">
        <v>201</v>
      </c>
      <c r="I23" s="11" t="s">
        <v>195</v>
      </c>
      <c r="J23" s="11" t="s">
        <v>202</v>
      </c>
      <c r="K23" s="11"/>
      <c r="L23" s="11" t="s">
        <v>203</v>
      </c>
      <c r="M23" s="11" t="s">
        <v>198</v>
      </c>
      <c r="N23" s="13" t="s">
        <v>76</v>
      </c>
      <c r="O23" s="13" t="s">
        <v>77</v>
      </c>
      <c r="P23" s="14"/>
      <c r="Q23" s="13"/>
      <c r="R23" s="14"/>
      <c r="S23" s="14"/>
      <c r="T23" s="14"/>
    </row>
    <row r="24" spans="1:20" ht="39.6" x14ac:dyDescent="0.3">
      <c r="A24" s="9" t="s">
        <v>204</v>
      </c>
      <c r="B24" s="10" t="s">
        <v>64</v>
      </c>
      <c r="C24" s="11" t="s">
        <v>191</v>
      </c>
      <c r="D24" s="12" t="s">
        <v>192</v>
      </c>
      <c r="E24" s="11" t="s">
        <v>200</v>
      </c>
      <c r="F24" s="12" t="s">
        <v>68</v>
      </c>
      <c r="G24" s="11" t="s">
        <v>69</v>
      </c>
      <c r="H24" s="11" t="s">
        <v>205</v>
      </c>
      <c r="I24" s="11" t="s">
        <v>195</v>
      </c>
      <c r="J24" s="11" t="s">
        <v>206</v>
      </c>
      <c r="K24" s="11"/>
      <c r="L24" s="11" t="s">
        <v>207</v>
      </c>
      <c r="M24" s="11" t="s">
        <v>198</v>
      </c>
      <c r="N24" s="13" t="s">
        <v>76</v>
      </c>
      <c r="O24" s="13" t="s">
        <v>77</v>
      </c>
      <c r="P24" s="14"/>
      <c r="Q24" s="13"/>
      <c r="R24" s="14"/>
      <c r="S24" s="14"/>
      <c r="T24" s="14"/>
    </row>
    <row r="25" spans="1:20" ht="39.6" x14ac:dyDescent="0.3">
      <c r="A25" s="9" t="s">
        <v>208</v>
      </c>
      <c r="B25" s="10" t="s">
        <v>64</v>
      </c>
      <c r="C25" s="11" t="s">
        <v>191</v>
      </c>
      <c r="D25" s="12" t="s">
        <v>192</v>
      </c>
      <c r="E25" s="11" t="s">
        <v>209</v>
      </c>
      <c r="F25" s="12" t="s">
        <v>68</v>
      </c>
      <c r="G25" s="11" t="s">
        <v>80</v>
      </c>
      <c r="H25" s="11" t="s">
        <v>210</v>
      </c>
      <c r="I25" s="11" t="s">
        <v>195</v>
      </c>
      <c r="J25" s="11" t="s">
        <v>211</v>
      </c>
      <c r="K25" s="11"/>
      <c r="L25" s="11" t="s">
        <v>212</v>
      </c>
      <c r="M25" s="11" t="s">
        <v>198</v>
      </c>
      <c r="N25" s="13" t="s">
        <v>76</v>
      </c>
      <c r="O25" s="13" t="s">
        <v>77</v>
      </c>
      <c r="P25" s="14"/>
      <c r="Q25" s="13"/>
      <c r="R25" s="14"/>
      <c r="S25" s="14"/>
      <c r="T25" s="14"/>
    </row>
    <row r="26" spans="1:20" ht="39.6" x14ac:dyDescent="0.3">
      <c r="A26" s="9" t="s">
        <v>213</v>
      </c>
      <c r="B26" s="10" t="s">
        <v>64</v>
      </c>
      <c r="C26" s="11" t="s">
        <v>191</v>
      </c>
      <c r="D26" s="12" t="s">
        <v>192</v>
      </c>
      <c r="E26" s="11" t="s">
        <v>193</v>
      </c>
      <c r="F26" s="12" t="s">
        <v>68</v>
      </c>
      <c r="G26" s="11" t="s">
        <v>214</v>
      </c>
      <c r="H26" s="11" t="s">
        <v>215</v>
      </c>
      <c r="I26" s="11" t="s">
        <v>195</v>
      </c>
      <c r="J26" s="11" t="s">
        <v>216</v>
      </c>
      <c r="K26" s="11"/>
      <c r="L26" s="11" t="s">
        <v>217</v>
      </c>
      <c r="M26" s="11" t="s">
        <v>198</v>
      </c>
      <c r="N26" s="13" t="s">
        <v>76</v>
      </c>
      <c r="O26" s="13" t="s">
        <v>77</v>
      </c>
      <c r="P26" s="14"/>
      <c r="Q26" s="13"/>
      <c r="R26" s="14"/>
      <c r="S26" s="14"/>
      <c r="T26" s="14"/>
    </row>
    <row r="27" spans="1:20" ht="39.6" x14ac:dyDescent="0.3">
      <c r="A27" s="9" t="s">
        <v>218</v>
      </c>
      <c r="B27" s="10" t="s">
        <v>64</v>
      </c>
      <c r="C27" s="11" t="s">
        <v>191</v>
      </c>
      <c r="D27" s="12" t="s">
        <v>192</v>
      </c>
      <c r="E27" s="11" t="s">
        <v>219</v>
      </c>
      <c r="F27" s="12" t="s">
        <v>68</v>
      </c>
      <c r="G27" s="11" t="s">
        <v>69</v>
      </c>
      <c r="H27" s="11" t="s">
        <v>220</v>
      </c>
      <c r="I27" s="11" t="s">
        <v>195</v>
      </c>
      <c r="J27" s="11" t="s">
        <v>221</v>
      </c>
      <c r="K27" s="11"/>
      <c r="L27" s="11" t="s">
        <v>222</v>
      </c>
      <c r="M27" s="11" t="s">
        <v>198</v>
      </c>
      <c r="N27" s="13" t="s">
        <v>76</v>
      </c>
      <c r="O27" s="13" t="s">
        <v>77</v>
      </c>
      <c r="P27" s="14"/>
      <c r="Q27" s="13"/>
      <c r="R27" s="14"/>
      <c r="S27" s="14"/>
      <c r="T27" s="14"/>
    </row>
    <row r="28" spans="1:20" ht="39.6" x14ac:dyDescent="0.3">
      <c r="A28" s="9" t="s">
        <v>223</v>
      </c>
      <c r="B28" s="10" t="s">
        <v>64</v>
      </c>
      <c r="C28" s="11" t="s">
        <v>224</v>
      </c>
      <c r="D28" s="12" t="s">
        <v>225</v>
      </c>
      <c r="E28" s="11" t="s">
        <v>226</v>
      </c>
      <c r="F28" s="12" t="s">
        <v>227</v>
      </c>
      <c r="G28" s="11" t="s">
        <v>69</v>
      </c>
      <c r="H28" s="11" t="s">
        <v>228</v>
      </c>
      <c r="I28" s="11" t="s">
        <v>229</v>
      </c>
      <c r="J28" s="11" t="s">
        <v>230</v>
      </c>
      <c r="K28" s="11"/>
      <c r="L28" s="11" t="s">
        <v>231</v>
      </c>
      <c r="M28" s="11" t="s">
        <v>232</v>
      </c>
      <c r="N28" s="13" t="s">
        <v>76</v>
      </c>
      <c r="O28" s="13" t="s">
        <v>77</v>
      </c>
      <c r="P28" s="14"/>
      <c r="Q28" s="13"/>
      <c r="R28" s="14"/>
      <c r="S28" s="14"/>
      <c r="T28" s="14"/>
    </row>
    <row r="29" spans="1:20" ht="66" x14ac:dyDescent="0.3">
      <c r="A29" s="9" t="s">
        <v>233</v>
      </c>
      <c r="B29" s="10" t="s">
        <v>64</v>
      </c>
      <c r="C29" s="11" t="s">
        <v>224</v>
      </c>
      <c r="D29" s="12" t="s">
        <v>225</v>
      </c>
      <c r="E29" s="11" t="s">
        <v>234</v>
      </c>
      <c r="F29" s="12" t="s">
        <v>227</v>
      </c>
      <c r="G29" s="11" t="s">
        <v>69</v>
      </c>
      <c r="H29" s="11" t="s">
        <v>235</v>
      </c>
      <c r="I29" s="11" t="s">
        <v>229</v>
      </c>
      <c r="J29" s="11" t="s">
        <v>236</v>
      </c>
      <c r="K29" s="11"/>
      <c r="L29" s="11" t="s">
        <v>237</v>
      </c>
      <c r="M29" s="11" t="s">
        <v>232</v>
      </c>
      <c r="N29" s="13" t="s">
        <v>76</v>
      </c>
      <c r="O29" s="13" t="s">
        <v>77</v>
      </c>
      <c r="P29" s="14"/>
      <c r="Q29" s="13"/>
      <c r="R29" s="14"/>
      <c r="S29" s="14"/>
      <c r="T29" s="14"/>
    </row>
    <row r="30" spans="1:20" ht="52.8" x14ac:dyDescent="0.3">
      <c r="A30" s="9" t="s">
        <v>238</v>
      </c>
      <c r="B30" s="10" t="s">
        <v>64</v>
      </c>
      <c r="C30" s="11" t="s">
        <v>224</v>
      </c>
      <c r="D30" s="12" t="s">
        <v>225</v>
      </c>
      <c r="E30" s="11" t="s">
        <v>239</v>
      </c>
      <c r="F30" s="12" t="s">
        <v>227</v>
      </c>
      <c r="G30" s="11" t="s">
        <v>69</v>
      </c>
      <c r="H30" s="11" t="s">
        <v>240</v>
      </c>
      <c r="I30" s="11" t="s">
        <v>229</v>
      </c>
      <c r="J30" s="11" t="s">
        <v>241</v>
      </c>
      <c r="K30" s="11"/>
      <c r="L30" s="11" t="s">
        <v>242</v>
      </c>
      <c r="M30" s="11" t="s">
        <v>232</v>
      </c>
      <c r="N30" s="13" t="s">
        <v>76</v>
      </c>
      <c r="O30" s="13" t="s">
        <v>77</v>
      </c>
      <c r="P30" s="14"/>
      <c r="Q30" s="13"/>
      <c r="R30" s="14"/>
      <c r="S30" s="14"/>
      <c r="T30" s="14"/>
    </row>
    <row r="31" spans="1:20" ht="52.8" x14ac:dyDescent="0.3">
      <c r="A31" s="9" t="s">
        <v>243</v>
      </c>
      <c r="B31" s="10" t="s">
        <v>64</v>
      </c>
      <c r="C31" s="11" t="s">
        <v>224</v>
      </c>
      <c r="D31" s="12" t="s">
        <v>225</v>
      </c>
      <c r="E31" s="11" t="s">
        <v>244</v>
      </c>
      <c r="F31" s="12" t="s">
        <v>227</v>
      </c>
      <c r="G31" s="11" t="s">
        <v>214</v>
      </c>
      <c r="H31" s="11" t="s">
        <v>245</v>
      </c>
      <c r="I31" s="11" t="s">
        <v>229</v>
      </c>
      <c r="J31" s="11" t="s">
        <v>246</v>
      </c>
      <c r="K31" s="11"/>
      <c r="L31" s="11" t="s">
        <v>247</v>
      </c>
      <c r="M31" s="11" t="s">
        <v>232</v>
      </c>
      <c r="N31" s="13" t="s">
        <v>76</v>
      </c>
      <c r="O31" s="13" t="s">
        <v>77</v>
      </c>
      <c r="P31" s="14"/>
      <c r="Q31" s="13"/>
      <c r="R31" s="14"/>
      <c r="S31" s="14"/>
      <c r="T31" s="14"/>
    </row>
    <row r="32" spans="1:20" ht="52.8" x14ac:dyDescent="0.3">
      <c r="A32" s="9" t="s">
        <v>248</v>
      </c>
      <c r="B32" s="10" t="s">
        <v>64</v>
      </c>
      <c r="C32" s="11" t="s">
        <v>249</v>
      </c>
      <c r="D32" s="12" t="s">
        <v>250</v>
      </c>
      <c r="E32" s="11" t="s">
        <v>251</v>
      </c>
      <c r="F32" s="12" t="s">
        <v>227</v>
      </c>
      <c r="G32" s="11" t="s">
        <v>69</v>
      </c>
      <c r="H32" s="11" t="s">
        <v>252</v>
      </c>
      <c r="I32" s="11" t="s">
        <v>253</v>
      </c>
      <c r="J32" s="11" t="s">
        <v>254</v>
      </c>
      <c r="K32" s="11"/>
      <c r="L32" s="11" t="s">
        <v>255</v>
      </c>
      <c r="M32" s="11" t="s">
        <v>256</v>
      </c>
      <c r="N32" s="13" t="s">
        <v>76</v>
      </c>
      <c r="O32" s="13" t="s">
        <v>77</v>
      </c>
      <c r="P32" s="14"/>
      <c r="Q32" s="13"/>
      <c r="R32" s="14"/>
      <c r="S32" s="14"/>
      <c r="T32" s="14"/>
    </row>
    <row r="33" spans="1:20" ht="39.6" x14ac:dyDescent="0.3">
      <c r="A33" s="9" t="s">
        <v>257</v>
      </c>
      <c r="B33" s="10" t="s">
        <v>64</v>
      </c>
      <c r="C33" s="11" t="s">
        <v>249</v>
      </c>
      <c r="D33" s="12" t="s">
        <v>250</v>
      </c>
      <c r="E33" s="11" t="s">
        <v>251</v>
      </c>
      <c r="F33" s="12" t="s">
        <v>227</v>
      </c>
      <c r="G33" s="11" t="s">
        <v>108</v>
      </c>
      <c r="H33" s="11" t="s">
        <v>258</v>
      </c>
      <c r="I33" s="11" t="s">
        <v>253</v>
      </c>
      <c r="J33" s="11" t="s">
        <v>259</v>
      </c>
      <c r="K33" s="11"/>
      <c r="L33" s="11" t="s">
        <v>260</v>
      </c>
      <c r="M33" s="11" t="s">
        <v>256</v>
      </c>
      <c r="N33" s="13" t="s">
        <v>76</v>
      </c>
      <c r="O33" s="13" t="s">
        <v>77</v>
      </c>
      <c r="P33" s="14"/>
      <c r="Q33" s="13"/>
      <c r="R33" s="14"/>
      <c r="S33" s="14"/>
      <c r="T33" s="14"/>
    </row>
    <row r="34" spans="1:20" ht="39.6" x14ac:dyDescent="0.3">
      <c r="A34" s="9" t="s">
        <v>261</v>
      </c>
      <c r="B34" s="10" t="s">
        <v>64</v>
      </c>
      <c r="C34" s="11" t="s">
        <v>249</v>
      </c>
      <c r="D34" s="12" t="s">
        <v>250</v>
      </c>
      <c r="E34" s="11" t="s">
        <v>262</v>
      </c>
      <c r="F34" s="12" t="s">
        <v>227</v>
      </c>
      <c r="G34" s="11" t="s">
        <v>69</v>
      </c>
      <c r="H34" s="11" t="s">
        <v>263</v>
      </c>
      <c r="I34" s="11" t="s">
        <v>253</v>
      </c>
      <c r="J34" s="11" t="s">
        <v>264</v>
      </c>
      <c r="K34" s="11"/>
      <c r="L34" s="11" t="s">
        <v>265</v>
      </c>
      <c r="M34" s="11" t="s">
        <v>256</v>
      </c>
      <c r="N34" s="13" t="s">
        <v>76</v>
      </c>
      <c r="O34" s="13" t="s">
        <v>77</v>
      </c>
      <c r="P34" s="14"/>
      <c r="Q34" s="13"/>
      <c r="R34" s="14"/>
      <c r="S34" s="14"/>
      <c r="T34" s="14"/>
    </row>
    <row r="35" spans="1:20" ht="26.4" x14ac:dyDescent="0.3">
      <c r="A35" s="9" t="s">
        <v>266</v>
      </c>
      <c r="B35" s="10" t="s">
        <v>64</v>
      </c>
      <c r="C35" s="11" t="s">
        <v>249</v>
      </c>
      <c r="D35" s="12" t="s">
        <v>250</v>
      </c>
      <c r="E35" s="11" t="s">
        <v>267</v>
      </c>
      <c r="F35" s="12" t="s">
        <v>227</v>
      </c>
      <c r="G35" s="11" t="s">
        <v>69</v>
      </c>
      <c r="H35" s="11" t="s">
        <v>268</v>
      </c>
      <c r="I35" s="11" t="s">
        <v>253</v>
      </c>
      <c r="J35" s="11" t="s">
        <v>269</v>
      </c>
      <c r="K35" s="11"/>
      <c r="L35" s="11" t="s">
        <v>270</v>
      </c>
      <c r="M35" s="11" t="s">
        <v>256</v>
      </c>
      <c r="N35" s="13" t="s">
        <v>76</v>
      </c>
      <c r="O35" s="13" t="s">
        <v>77</v>
      </c>
      <c r="P35" s="14"/>
      <c r="Q35" s="13"/>
      <c r="R35" s="14"/>
      <c r="S35" s="14"/>
      <c r="T35" s="14"/>
    </row>
    <row r="36" spans="1:20" ht="39.6" x14ac:dyDescent="0.3">
      <c r="A36" s="9" t="s">
        <v>271</v>
      </c>
      <c r="B36" s="10" t="s">
        <v>64</v>
      </c>
      <c r="C36" s="11" t="s">
        <v>272</v>
      </c>
      <c r="D36" s="12" t="s">
        <v>66</v>
      </c>
      <c r="E36" s="11" t="s">
        <v>273</v>
      </c>
      <c r="F36" s="12" t="s">
        <v>274</v>
      </c>
      <c r="G36" s="11" t="s">
        <v>69</v>
      </c>
      <c r="H36" s="11" t="s">
        <v>275</v>
      </c>
      <c r="I36" s="11" t="s">
        <v>276</v>
      </c>
      <c r="J36" s="11" t="s">
        <v>277</v>
      </c>
      <c r="K36" s="11"/>
      <c r="L36" s="11" t="s">
        <v>278</v>
      </c>
      <c r="M36" s="11" t="s">
        <v>279</v>
      </c>
      <c r="N36" s="13" t="s">
        <v>76</v>
      </c>
      <c r="O36" s="13" t="s">
        <v>77</v>
      </c>
      <c r="P36" s="14"/>
      <c r="Q36" s="13"/>
      <c r="R36" s="14"/>
      <c r="S36" s="14"/>
      <c r="T36" s="14"/>
    </row>
    <row r="37" spans="1:20" ht="39.6" x14ac:dyDescent="0.3">
      <c r="A37" s="9" t="s">
        <v>280</v>
      </c>
      <c r="B37" s="10" t="s">
        <v>64</v>
      </c>
      <c r="C37" s="11" t="s">
        <v>272</v>
      </c>
      <c r="D37" s="12" t="s">
        <v>66</v>
      </c>
      <c r="E37" s="11" t="s">
        <v>273</v>
      </c>
      <c r="F37" s="12" t="s">
        <v>274</v>
      </c>
      <c r="G37" s="11" t="s">
        <v>69</v>
      </c>
      <c r="H37" s="11" t="s">
        <v>281</v>
      </c>
      <c r="I37" s="11" t="s">
        <v>276</v>
      </c>
      <c r="J37" s="11" t="s">
        <v>282</v>
      </c>
      <c r="K37" s="11"/>
      <c r="L37" s="11" t="s">
        <v>283</v>
      </c>
      <c r="M37" s="11" t="s">
        <v>279</v>
      </c>
      <c r="N37" s="13" t="s">
        <v>76</v>
      </c>
      <c r="O37" s="13" t="s">
        <v>77</v>
      </c>
      <c r="P37" s="14"/>
      <c r="Q37" s="13"/>
      <c r="R37" s="14"/>
      <c r="S37" s="14"/>
      <c r="T37" s="14"/>
    </row>
    <row r="38" spans="1:20" ht="39.6" x14ac:dyDescent="0.3">
      <c r="A38" s="9" t="s">
        <v>284</v>
      </c>
      <c r="B38" s="10" t="s">
        <v>64</v>
      </c>
      <c r="C38" s="11" t="s">
        <v>272</v>
      </c>
      <c r="D38" s="12" t="s">
        <v>66</v>
      </c>
      <c r="E38" s="11" t="s">
        <v>273</v>
      </c>
      <c r="F38" s="12" t="s">
        <v>274</v>
      </c>
      <c r="G38" s="11" t="s">
        <v>69</v>
      </c>
      <c r="H38" s="11" t="s">
        <v>285</v>
      </c>
      <c r="I38" s="11" t="s">
        <v>276</v>
      </c>
      <c r="J38" s="11" t="s">
        <v>286</v>
      </c>
      <c r="K38" s="11"/>
      <c r="L38" s="11" t="s">
        <v>283</v>
      </c>
      <c r="M38" s="11" t="s">
        <v>279</v>
      </c>
      <c r="N38" s="13" t="s">
        <v>76</v>
      </c>
      <c r="O38" s="13" t="s">
        <v>77</v>
      </c>
      <c r="P38" s="14"/>
      <c r="Q38" s="13"/>
      <c r="R38" s="14"/>
      <c r="S38" s="14"/>
      <c r="T38" s="14"/>
    </row>
    <row r="39" spans="1:20" ht="39.6" x14ac:dyDescent="0.3">
      <c r="A39" s="9" t="s">
        <v>287</v>
      </c>
      <c r="B39" s="10" t="s">
        <v>64</v>
      </c>
      <c r="C39" s="11" t="s">
        <v>272</v>
      </c>
      <c r="D39" s="12" t="s">
        <v>99</v>
      </c>
      <c r="E39" s="11" t="s">
        <v>114</v>
      </c>
      <c r="F39" s="12" t="s">
        <v>274</v>
      </c>
      <c r="G39" s="11" t="s">
        <v>69</v>
      </c>
      <c r="H39" s="11" t="s">
        <v>288</v>
      </c>
      <c r="I39" s="11" t="s">
        <v>276</v>
      </c>
      <c r="J39" s="11" t="s">
        <v>289</v>
      </c>
      <c r="K39" s="11"/>
      <c r="L39" s="11" t="s">
        <v>290</v>
      </c>
      <c r="M39" s="11" t="s">
        <v>279</v>
      </c>
      <c r="N39" s="13" t="s">
        <v>76</v>
      </c>
      <c r="O39" s="13" t="s">
        <v>77</v>
      </c>
      <c r="P39" s="14"/>
      <c r="Q39" s="13"/>
      <c r="R39" s="14"/>
      <c r="S39" s="14"/>
      <c r="T39" s="14"/>
    </row>
    <row r="40" spans="1:20" ht="39.6" x14ac:dyDescent="0.3">
      <c r="A40" s="9" t="s">
        <v>291</v>
      </c>
      <c r="B40" s="10" t="s">
        <v>64</v>
      </c>
      <c r="C40" s="11" t="s">
        <v>272</v>
      </c>
      <c r="D40" s="12" t="s">
        <v>99</v>
      </c>
      <c r="E40" s="11" t="s">
        <v>114</v>
      </c>
      <c r="F40" s="12" t="s">
        <v>274</v>
      </c>
      <c r="G40" s="11" t="s">
        <v>69</v>
      </c>
      <c r="H40" s="11" t="s">
        <v>292</v>
      </c>
      <c r="I40" s="11" t="s">
        <v>276</v>
      </c>
      <c r="J40" s="11" t="s">
        <v>293</v>
      </c>
      <c r="K40" s="11"/>
      <c r="L40" s="11" t="s">
        <v>290</v>
      </c>
      <c r="M40" s="11" t="s">
        <v>279</v>
      </c>
      <c r="N40" s="13" t="s">
        <v>76</v>
      </c>
      <c r="O40" s="13" t="s">
        <v>77</v>
      </c>
      <c r="P40" s="14"/>
      <c r="Q40" s="13"/>
      <c r="R40" s="14"/>
      <c r="S40" s="14"/>
      <c r="T40" s="14"/>
    </row>
    <row r="41" spans="1:20" ht="39.6" x14ac:dyDescent="0.3">
      <c r="A41" s="9" t="s">
        <v>294</v>
      </c>
      <c r="B41" s="10" t="s">
        <v>64</v>
      </c>
      <c r="C41" s="11" t="s">
        <v>272</v>
      </c>
      <c r="D41" s="12" t="s">
        <v>192</v>
      </c>
      <c r="E41" s="11" t="s">
        <v>295</v>
      </c>
      <c r="F41" s="12" t="s">
        <v>274</v>
      </c>
      <c r="G41" s="11" t="s">
        <v>69</v>
      </c>
      <c r="H41" s="11" t="s">
        <v>296</v>
      </c>
      <c r="I41" s="11" t="s">
        <v>276</v>
      </c>
      <c r="J41" s="11" t="s">
        <v>297</v>
      </c>
      <c r="K41" s="11"/>
      <c r="L41" s="11" t="s">
        <v>298</v>
      </c>
      <c r="M41" s="11" t="s">
        <v>279</v>
      </c>
      <c r="N41" s="13" t="s">
        <v>76</v>
      </c>
      <c r="O41" s="13" t="s">
        <v>77</v>
      </c>
      <c r="P41" s="14"/>
      <c r="Q41" s="13"/>
      <c r="R41" s="14"/>
      <c r="S41" s="14"/>
      <c r="T41" s="14"/>
    </row>
    <row r="42" spans="1:20" ht="66" x14ac:dyDescent="0.3">
      <c r="A42" s="9" t="s">
        <v>299</v>
      </c>
      <c r="B42" s="15" t="s">
        <v>300</v>
      </c>
      <c r="C42" s="11" t="s">
        <v>301</v>
      </c>
      <c r="D42" s="12" t="s">
        <v>66</v>
      </c>
      <c r="E42" s="11" t="s">
        <v>273</v>
      </c>
      <c r="F42" s="12" t="s">
        <v>68</v>
      </c>
      <c r="G42" s="11" t="s">
        <v>69</v>
      </c>
      <c r="H42" s="11" t="s">
        <v>302</v>
      </c>
      <c r="I42" s="11" t="s">
        <v>303</v>
      </c>
      <c r="J42" s="11" t="s">
        <v>304</v>
      </c>
      <c r="K42" s="11" t="s">
        <v>305</v>
      </c>
      <c r="L42" s="11" t="s">
        <v>306</v>
      </c>
      <c r="M42" s="11" t="s">
        <v>307</v>
      </c>
      <c r="N42" s="13" t="s">
        <v>76</v>
      </c>
      <c r="O42" s="13" t="s">
        <v>77</v>
      </c>
      <c r="P42" s="14"/>
      <c r="Q42" s="13"/>
      <c r="R42" s="14"/>
      <c r="S42" s="14"/>
      <c r="T42" s="14"/>
    </row>
    <row r="43" spans="1:20" ht="52.8" x14ac:dyDescent="0.3">
      <c r="A43" s="9" t="s">
        <v>308</v>
      </c>
      <c r="B43" s="15" t="s">
        <v>300</v>
      </c>
      <c r="C43" s="11" t="s">
        <v>301</v>
      </c>
      <c r="D43" s="12" t="s">
        <v>66</v>
      </c>
      <c r="E43" s="11" t="s">
        <v>309</v>
      </c>
      <c r="F43" s="12" t="s">
        <v>68</v>
      </c>
      <c r="G43" s="11" t="s">
        <v>108</v>
      </c>
      <c r="H43" s="11" t="s">
        <v>310</v>
      </c>
      <c r="I43" s="11" t="s">
        <v>303</v>
      </c>
      <c r="J43" s="11" t="s">
        <v>311</v>
      </c>
      <c r="K43" s="11" t="s">
        <v>312</v>
      </c>
      <c r="L43" s="11" t="s">
        <v>313</v>
      </c>
      <c r="M43" s="11" t="s">
        <v>307</v>
      </c>
      <c r="N43" s="13" t="s">
        <v>76</v>
      </c>
      <c r="O43" s="13" t="s">
        <v>77</v>
      </c>
      <c r="P43" s="14"/>
      <c r="Q43" s="13"/>
      <c r="R43" s="14"/>
      <c r="S43" s="14"/>
      <c r="T43" s="14"/>
    </row>
    <row r="44" spans="1:20" ht="52.8" x14ac:dyDescent="0.3">
      <c r="A44" s="9" t="s">
        <v>314</v>
      </c>
      <c r="B44" s="15" t="s">
        <v>300</v>
      </c>
      <c r="C44" s="11" t="s">
        <v>301</v>
      </c>
      <c r="D44" s="12" t="s">
        <v>66</v>
      </c>
      <c r="E44" s="11" t="s">
        <v>315</v>
      </c>
      <c r="F44" s="12" t="s">
        <v>68</v>
      </c>
      <c r="G44" s="11" t="s">
        <v>69</v>
      </c>
      <c r="H44" s="11" t="s">
        <v>316</v>
      </c>
      <c r="I44" s="11" t="s">
        <v>303</v>
      </c>
      <c r="J44" s="11" t="s">
        <v>317</v>
      </c>
      <c r="K44" s="11"/>
      <c r="L44" s="11" t="s">
        <v>318</v>
      </c>
      <c r="M44" s="11" t="s">
        <v>307</v>
      </c>
      <c r="N44" s="13" t="s">
        <v>76</v>
      </c>
      <c r="O44" s="13" t="s">
        <v>77</v>
      </c>
      <c r="P44" s="14"/>
      <c r="Q44" s="13"/>
      <c r="R44" s="14"/>
      <c r="S44" s="14"/>
      <c r="T44" s="14"/>
    </row>
    <row r="45" spans="1:20" ht="66" x14ac:dyDescent="0.3">
      <c r="A45" s="9" t="s">
        <v>319</v>
      </c>
      <c r="B45" s="15" t="s">
        <v>300</v>
      </c>
      <c r="C45" s="11" t="s">
        <v>301</v>
      </c>
      <c r="D45" s="12" t="s">
        <v>66</v>
      </c>
      <c r="E45" s="11" t="s">
        <v>320</v>
      </c>
      <c r="F45" s="12" t="s">
        <v>68</v>
      </c>
      <c r="G45" s="11" t="s">
        <v>214</v>
      </c>
      <c r="H45" s="11" t="s">
        <v>321</v>
      </c>
      <c r="I45" s="11" t="s">
        <v>303</v>
      </c>
      <c r="J45" s="11" t="s">
        <v>322</v>
      </c>
      <c r="K45" s="11" t="s">
        <v>323</v>
      </c>
      <c r="L45" s="11" t="s">
        <v>324</v>
      </c>
      <c r="M45" s="11" t="s">
        <v>307</v>
      </c>
      <c r="N45" s="13" t="s">
        <v>76</v>
      </c>
      <c r="O45" s="13" t="s">
        <v>77</v>
      </c>
      <c r="P45" s="14"/>
      <c r="Q45" s="13"/>
      <c r="R45" s="14"/>
      <c r="S45" s="14"/>
      <c r="T45" s="14"/>
    </row>
    <row r="46" spans="1:20" ht="26.4" x14ac:dyDescent="0.3">
      <c r="A46" s="9" t="s">
        <v>325</v>
      </c>
      <c r="B46" s="15" t="s">
        <v>300</v>
      </c>
      <c r="C46" s="11" t="s">
        <v>326</v>
      </c>
      <c r="D46" s="12" t="s">
        <v>99</v>
      </c>
      <c r="E46" s="11" t="s">
        <v>100</v>
      </c>
      <c r="F46" s="12" t="s">
        <v>68</v>
      </c>
      <c r="G46" s="11" t="s">
        <v>69</v>
      </c>
      <c r="H46" s="11" t="s">
        <v>327</v>
      </c>
      <c r="I46" s="11" t="s">
        <v>328</v>
      </c>
      <c r="J46" s="11" t="s">
        <v>329</v>
      </c>
      <c r="K46" s="11"/>
      <c r="L46" s="11" t="s">
        <v>330</v>
      </c>
      <c r="M46" s="11" t="s">
        <v>331</v>
      </c>
      <c r="N46" s="13" t="s">
        <v>76</v>
      </c>
      <c r="O46" s="13" t="s">
        <v>77</v>
      </c>
      <c r="P46" s="14"/>
      <c r="Q46" s="13"/>
      <c r="R46" s="14"/>
      <c r="S46" s="14"/>
      <c r="T46" s="14"/>
    </row>
    <row r="47" spans="1:20" ht="66" x14ac:dyDescent="0.3">
      <c r="A47" s="9" t="s">
        <v>332</v>
      </c>
      <c r="B47" s="15" t="s">
        <v>300</v>
      </c>
      <c r="C47" s="11" t="s">
        <v>326</v>
      </c>
      <c r="D47" s="12" t="s">
        <v>99</v>
      </c>
      <c r="E47" s="11" t="s">
        <v>100</v>
      </c>
      <c r="F47" s="12" t="s">
        <v>68</v>
      </c>
      <c r="G47" s="11" t="s">
        <v>108</v>
      </c>
      <c r="H47" s="11" t="s">
        <v>333</v>
      </c>
      <c r="I47" s="11" t="s">
        <v>328</v>
      </c>
      <c r="J47" s="11" t="s">
        <v>334</v>
      </c>
      <c r="K47" s="11"/>
      <c r="L47" s="11" t="s">
        <v>335</v>
      </c>
      <c r="M47" s="11" t="s">
        <v>331</v>
      </c>
      <c r="N47" s="13" t="s">
        <v>76</v>
      </c>
      <c r="O47" s="13" t="s">
        <v>77</v>
      </c>
      <c r="P47" s="14"/>
      <c r="Q47" s="13"/>
      <c r="R47" s="14"/>
      <c r="S47" s="14"/>
      <c r="T47" s="14"/>
    </row>
    <row r="48" spans="1:20" ht="39.6" x14ac:dyDescent="0.3">
      <c r="A48" s="9" t="s">
        <v>336</v>
      </c>
      <c r="B48" s="15" t="s">
        <v>300</v>
      </c>
      <c r="C48" s="11" t="s">
        <v>326</v>
      </c>
      <c r="D48" s="12" t="s">
        <v>99</v>
      </c>
      <c r="E48" s="11" t="s">
        <v>114</v>
      </c>
      <c r="F48" s="12" t="s">
        <v>68</v>
      </c>
      <c r="G48" s="11" t="s">
        <v>69</v>
      </c>
      <c r="H48" s="11" t="s">
        <v>115</v>
      </c>
      <c r="I48" s="11" t="s">
        <v>328</v>
      </c>
      <c r="J48" s="11" t="s">
        <v>337</v>
      </c>
      <c r="K48" s="11"/>
      <c r="L48" s="11" t="s">
        <v>338</v>
      </c>
      <c r="M48" s="11" t="s">
        <v>331</v>
      </c>
      <c r="N48" s="13" t="s">
        <v>76</v>
      </c>
      <c r="O48" s="13" t="s">
        <v>77</v>
      </c>
      <c r="P48" s="14"/>
      <c r="Q48" s="13"/>
      <c r="R48" s="14"/>
      <c r="S48" s="14"/>
      <c r="T48" s="14"/>
    </row>
    <row r="49" spans="1:20" ht="26.4" x14ac:dyDescent="0.3">
      <c r="A49" s="9" t="s">
        <v>339</v>
      </c>
      <c r="B49" s="15" t="s">
        <v>300</v>
      </c>
      <c r="C49" s="11" t="s">
        <v>326</v>
      </c>
      <c r="D49" s="12" t="s">
        <v>99</v>
      </c>
      <c r="E49" s="11" t="s">
        <v>120</v>
      </c>
      <c r="F49" s="12" t="s">
        <v>68</v>
      </c>
      <c r="G49" s="11" t="s">
        <v>69</v>
      </c>
      <c r="H49" s="11" t="s">
        <v>340</v>
      </c>
      <c r="I49" s="11" t="s">
        <v>328</v>
      </c>
      <c r="J49" s="11" t="s">
        <v>341</v>
      </c>
      <c r="K49" s="11" t="s">
        <v>342</v>
      </c>
      <c r="L49" s="11" t="s">
        <v>343</v>
      </c>
      <c r="M49" s="11" t="s">
        <v>331</v>
      </c>
      <c r="N49" s="13" t="s">
        <v>76</v>
      </c>
      <c r="O49" s="13" t="s">
        <v>77</v>
      </c>
      <c r="P49" s="14"/>
      <c r="Q49" s="13"/>
      <c r="R49" s="14"/>
      <c r="S49" s="14"/>
      <c r="T49" s="14"/>
    </row>
    <row r="50" spans="1:20" ht="39.6" x14ac:dyDescent="0.3">
      <c r="A50" s="9" t="s">
        <v>344</v>
      </c>
      <c r="B50" s="15" t="s">
        <v>300</v>
      </c>
      <c r="C50" s="11" t="s">
        <v>326</v>
      </c>
      <c r="D50" s="12" t="s">
        <v>99</v>
      </c>
      <c r="E50" s="11" t="s">
        <v>120</v>
      </c>
      <c r="F50" s="12" t="s">
        <v>68</v>
      </c>
      <c r="G50" s="11" t="s">
        <v>80</v>
      </c>
      <c r="H50" s="11" t="s">
        <v>345</v>
      </c>
      <c r="I50" s="11" t="s">
        <v>328</v>
      </c>
      <c r="J50" s="11" t="s">
        <v>346</v>
      </c>
      <c r="K50" s="11" t="s">
        <v>128</v>
      </c>
      <c r="L50" s="11" t="s">
        <v>347</v>
      </c>
      <c r="M50" s="11" t="s">
        <v>331</v>
      </c>
      <c r="N50" s="13" t="s">
        <v>76</v>
      </c>
      <c r="O50" s="13" t="s">
        <v>77</v>
      </c>
      <c r="P50" s="14"/>
      <c r="Q50" s="13"/>
      <c r="R50" s="14"/>
      <c r="S50" s="14"/>
      <c r="T50" s="14"/>
    </row>
    <row r="51" spans="1:20" ht="52.8" x14ac:dyDescent="0.3">
      <c r="A51" s="9" t="s">
        <v>348</v>
      </c>
      <c r="B51" s="15" t="s">
        <v>300</v>
      </c>
      <c r="C51" s="11" t="s">
        <v>326</v>
      </c>
      <c r="D51" s="12" t="s">
        <v>99</v>
      </c>
      <c r="E51" s="11" t="s">
        <v>131</v>
      </c>
      <c r="F51" s="12" t="s">
        <v>68</v>
      </c>
      <c r="G51" s="11" t="s">
        <v>69</v>
      </c>
      <c r="H51" s="11" t="s">
        <v>349</v>
      </c>
      <c r="I51" s="11" t="s">
        <v>328</v>
      </c>
      <c r="J51" s="11" t="s">
        <v>350</v>
      </c>
      <c r="K51" s="11"/>
      <c r="L51" s="11" t="s">
        <v>351</v>
      </c>
      <c r="M51" s="11" t="s">
        <v>331</v>
      </c>
      <c r="N51" s="13" t="s">
        <v>76</v>
      </c>
      <c r="O51" s="13" t="s">
        <v>77</v>
      </c>
      <c r="P51" s="14"/>
      <c r="Q51" s="13"/>
      <c r="R51" s="14"/>
      <c r="S51" s="14"/>
      <c r="T51" s="14"/>
    </row>
    <row r="52" spans="1:20" ht="52.8" x14ac:dyDescent="0.3">
      <c r="A52" s="9" t="s">
        <v>352</v>
      </c>
      <c r="B52" s="15" t="s">
        <v>300</v>
      </c>
      <c r="C52" s="11" t="s">
        <v>326</v>
      </c>
      <c r="D52" s="12" t="s">
        <v>99</v>
      </c>
      <c r="E52" s="11" t="s">
        <v>140</v>
      </c>
      <c r="F52" s="12" t="s">
        <v>68</v>
      </c>
      <c r="G52" s="11" t="s">
        <v>80</v>
      </c>
      <c r="H52" s="11" t="s">
        <v>353</v>
      </c>
      <c r="I52" s="11" t="s">
        <v>328</v>
      </c>
      <c r="J52" s="11" t="s">
        <v>354</v>
      </c>
      <c r="K52" s="11"/>
      <c r="L52" s="11" t="s">
        <v>355</v>
      </c>
      <c r="M52" s="11" t="s">
        <v>331</v>
      </c>
      <c r="N52" s="13" t="s">
        <v>76</v>
      </c>
      <c r="O52" s="13" t="s">
        <v>77</v>
      </c>
      <c r="P52" s="14"/>
      <c r="Q52" s="13"/>
      <c r="R52" s="14"/>
      <c r="S52" s="14"/>
      <c r="T52" s="14"/>
    </row>
    <row r="53" spans="1:20" ht="39.6" x14ac:dyDescent="0.3">
      <c r="A53" s="9" t="s">
        <v>356</v>
      </c>
      <c r="B53" s="15" t="s">
        <v>300</v>
      </c>
      <c r="C53" s="11" t="s">
        <v>326</v>
      </c>
      <c r="D53" s="12" t="s">
        <v>99</v>
      </c>
      <c r="E53" s="11" t="s">
        <v>145</v>
      </c>
      <c r="F53" s="12" t="s">
        <v>68</v>
      </c>
      <c r="G53" s="11" t="s">
        <v>69</v>
      </c>
      <c r="H53" s="11" t="s">
        <v>357</v>
      </c>
      <c r="I53" s="11" t="s">
        <v>328</v>
      </c>
      <c r="J53" s="11" t="s">
        <v>358</v>
      </c>
      <c r="K53" s="11"/>
      <c r="L53" s="11" t="s">
        <v>359</v>
      </c>
      <c r="M53" s="11" t="s">
        <v>331</v>
      </c>
      <c r="N53" s="13" t="s">
        <v>76</v>
      </c>
      <c r="O53" s="13" t="s">
        <v>77</v>
      </c>
      <c r="P53" s="14"/>
      <c r="Q53" s="13"/>
      <c r="R53" s="14"/>
      <c r="S53" s="14"/>
      <c r="T53" s="14"/>
    </row>
    <row r="54" spans="1:20" ht="39.6" x14ac:dyDescent="0.3">
      <c r="A54" s="9" t="s">
        <v>360</v>
      </c>
      <c r="B54" s="15" t="s">
        <v>300</v>
      </c>
      <c r="C54" s="11" t="s">
        <v>326</v>
      </c>
      <c r="D54" s="12" t="s">
        <v>99</v>
      </c>
      <c r="E54" s="11" t="s">
        <v>150</v>
      </c>
      <c r="F54" s="12" t="s">
        <v>68</v>
      </c>
      <c r="G54" s="11" t="s">
        <v>80</v>
      </c>
      <c r="H54" s="11" t="s">
        <v>361</v>
      </c>
      <c r="I54" s="11" t="s">
        <v>328</v>
      </c>
      <c r="J54" s="11" t="s">
        <v>362</v>
      </c>
      <c r="K54" s="11"/>
      <c r="L54" s="11" t="s">
        <v>363</v>
      </c>
      <c r="M54" s="11" t="s">
        <v>331</v>
      </c>
      <c r="N54" s="13" t="s">
        <v>76</v>
      </c>
      <c r="O54" s="13" t="s">
        <v>77</v>
      </c>
      <c r="P54" s="14"/>
      <c r="Q54" s="13"/>
      <c r="R54" s="14"/>
      <c r="S54" s="14"/>
      <c r="T54" s="14"/>
    </row>
    <row r="55" spans="1:20" ht="66" x14ac:dyDescent="0.3">
      <c r="A55" s="9" t="s">
        <v>364</v>
      </c>
      <c r="B55" s="15" t="s">
        <v>300</v>
      </c>
      <c r="C55" s="11" t="s">
        <v>326</v>
      </c>
      <c r="D55" s="12" t="s">
        <v>225</v>
      </c>
      <c r="E55" s="11" t="s">
        <v>365</v>
      </c>
      <c r="F55" s="12" t="s">
        <v>68</v>
      </c>
      <c r="G55" s="11" t="s">
        <v>69</v>
      </c>
      <c r="H55" s="11" t="s">
        <v>366</v>
      </c>
      <c r="I55" s="11" t="s">
        <v>328</v>
      </c>
      <c r="J55" s="11" t="s">
        <v>367</v>
      </c>
      <c r="K55" s="11"/>
      <c r="L55" s="11" t="s">
        <v>368</v>
      </c>
      <c r="M55" s="11" t="s">
        <v>331</v>
      </c>
      <c r="N55" s="13" t="s">
        <v>76</v>
      </c>
      <c r="O55" s="13" t="s">
        <v>77</v>
      </c>
      <c r="P55" s="14"/>
      <c r="Q55" s="13"/>
      <c r="R55" s="14"/>
      <c r="S55" s="14"/>
      <c r="T55" s="14"/>
    </row>
    <row r="56" spans="1:20" ht="52.8" x14ac:dyDescent="0.3">
      <c r="A56" s="9" t="s">
        <v>369</v>
      </c>
      <c r="B56" s="15" t="s">
        <v>300</v>
      </c>
      <c r="C56" s="11" t="s">
        <v>370</v>
      </c>
      <c r="D56" s="12" t="s">
        <v>156</v>
      </c>
      <c r="E56" s="11" t="s">
        <v>157</v>
      </c>
      <c r="F56" s="12" t="s">
        <v>68</v>
      </c>
      <c r="G56" s="11" t="s">
        <v>69</v>
      </c>
      <c r="H56" s="11" t="s">
        <v>371</v>
      </c>
      <c r="I56" s="11" t="s">
        <v>372</v>
      </c>
      <c r="J56" s="11" t="s">
        <v>373</v>
      </c>
      <c r="K56" s="11" t="s">
        <v>374</v>
      </c>
      <c r="L56" s="11" t="s">
        <v>375</v>
      </c>
      <c r="M56" s="11" t="s">
        <v>376</v>
      </c>
      <c r="N56" s="13" t="s">
        <v>76</v>
      </c>
      <c r="O56" s="13" t="s">
        <v>77</v>
      </c>
      <c r="P56" s="14"/>
      <c r="Q56" s="13"/>
      <c r="R56" s="14"/>
      <c r="S56" s="14"/>
      <c r="T56" s="14"/>
    </row>
    <row r="57" spans="1:20" ht="39.6" x14ac:dyDescent="0.3">
      <c r="A57" s="9" t="s">
        <v>377</v>
      </c>
      <c r="B57" s="15" t="s">
        <v>300</v>
      </c>
      <c r="C57" s="11" t="s">
        <v>370</v>
      </c>
      <c r="D57" s="12" t="s">
        <v>156</v>
      </c>
      <c r="E57" s="11" t="s">
        <v>165</v>
      </c>
      <c r="F57" s="12" t="s">
        <v>68</v>
      </c>
      <c r="G57" s="11" t="s">
        <v>80</v>
      </c>
      <c r="H57" s="11" t="s">
        <v>378</v>
      </c>
      <c r="I57" s="11" t="s">
        <v>372</v>
      </c>
      <c r="J57" s="11" t="s">
        <v>379</v>
      </c>
      <c r="K57" s="11"/>
      <c r="L57" s="11" t="s">
        <v>380</v>
      </c>
      <c r="M57" s="11" t="s">
        <v>376</v>
      </c>
      <c r="N57" s="13" t="s">
        <v>76</v>
      </c>
      <c r="O57" s="13" t="s">
        <v>77</v>
      </c>
      <c r="P57" s="14"/>
      <c r="Q57" s="13"/>
      <c r="R57" s="14"/>
      <c r="S57" s="14"/>
      <c r="T57" s="14"/>
    </row>
    <row r="58" spans="1:20" ht="26.4" x14ac:dyDescent="0.3">
      <c r="A58" s="9" t="s">
        <v>381</v>
      </c>
      <c r="B58" s="15" t="s">
        <v>300</v>
      </c>
      <c r="C58" s="11" t="s">
        <v>370</v>
      </c>
      <c r="D58" s="12" t="s">
        <v>156</v>
      </c>
      <c r="E58" s="11" t="s">
        <v>165</v>
      </c>
      <c r="F58" s="12" t="s">
        <v>68</v>
      </c>
      <c r="G58" s="11" t="s">
        <v>92</v>
      </c>
      <c r="H58" s="11" t="s">
        <v>171</v>
      </c>
      <c r="I58" s="11" t="s">
        <v>372</v>
      </c>
      <c r="J58" s="11" t="s">
        <v>382</v>
      </c>
      <c r="K58" s="11"/>
      <c r="L58" s="11" t="s">
        <v>383</v>
      </c>
      <c r="M58" s="11" t="s">
        <v>376</v>
      </c>
      <c r="N58" s="13" t="s">
        <v>76</v>
      </c>
      <c r="O58" s="13" t="s">
        <v>77</v>
      </c>
      <c r="P58" s="14"/>
      <c r="Q58" s="13"/>
      <c r="R58" s="14"/>
      <c r="S58" s="14"/>
      <c r="T58" s="14"/>
    </row>
    <row r="59" spans="1:20" ht="39.6" x14ac:dyDescent="0.3">
      <c r="A59" s="9" t="s">
        <v>384</v>
      </c>
      <c r="B59" s="15" t="s">
        <v>300</v>
      </c>
      <c r="C59" s="11" t="s">
        <v>370</v>
      </c>
      <c r="D59" s="12" t="s">
        <v>156</v>
      </c>
      <c r="E59" s="11" t="s">
        <v>165</v>
      </c>
      <c r="F59" s="12" t="s">
        <v>68</v>
      </c>
      <c r="G59" s="11" t="s">
        <v>80</v>
      </c>
      <c r="H59" s="11" t="s">
        <v>176</v>
      </c>
      <c r="I59" s="11" t="s">
        <v>372</v>
      </c>
      <c r="J59" s="11" t="s">
        <v>385</v>
      </c>
      <c r="K59" s="11"/>
      <c r="L59" s="11" t="s">
        <v>386</v>
      </c>
      <c r="M59" s="11" t="s">
        <v>376</v>
      </c>
      <c r="N59" s="13" t="s">
        <v>76</v>
      </c>
      <c r="O59" s="13" t="s">
        <v>77</v>
      </c>
      <c r="P59" s="14"/>
      <c r="Q59" s="13"/>
      <c r="R59" s="14"/>
      <c r="S59" s="14"/>
      <c r="T59" s="14"/>
    </row>
    <row r="60" spans="1:20" ht="26.4" x14ac:dyDescent="0.3">
      <c r="A60" s="9" t="s">
        <v>387</v>
      </c>
      <c r="B60" s="15" t="s">
        <v>300</v>
      </c>
      <c r="C60" s="11" t="s">
        <v>370</v>
      </c>
      <c r="D60" s="12" t="s">
        <v>156</v>
      </c>
      <c r="E60" s="11" t="s">
        <v>180</v>
      </c>
      <c r="F60" s="12" t="s">
        <v>68</v>
      </c>
      <c r="G60" s="11" t="s">
        <v>80</v>
      </c>
      <c r="H60" s="11" t="s">
        <v>388</v>
      </c>
      <c r="I60" s="11" t="s">
        <v>372</v>
      </c>
      <c r="J60" s="11" t="s">
        <v>389</v>
      </c>
      <c r="K60" s="11" t="s">
        <v>183</v>
      </c>
      <c r="L60" s="11" t="s">
        <v>390</v>
      </c>
      <c r="M60" s="11" t="s">
        <v>376</v>
      </c>
      <c r="N60" s="13" t="s">
        <v>76</v>
      </c>
      <c r="O60" s="13" t="s">
        <v>77</v>
      </c>
      <c r="P60" s="14"/>
      <c r="Q60" s="13"/>
      <c r="R60" s="14"/>
      <c r="S60" s="14"/>
      <c r="T60" s="14"/>
    </row>
    <row r="61" spans="1:20" ht="52.8" x14ac:dyDescent="0.3">
      <c r="A61" s="9" t="s">
        <v>391</v>
      </c>
      <c r="B61" s="15" t="s">
        <v>300</v>
      </c>
      <c r="C61" s="11" t="s">
        <v>370</v>
      </c>
      <c r="D61" s="12" t="s">
        <v>156</v>
      </c>
      <c r="E61" s="11" t="s">
        <v>186</v>
      </c>
      <c r="F61" s="12" t="s">
        <v>68</v>
      </c>
      <c r="G61" s="11" t="s">
        <v>80</v>
      </c>
      <c r="H61" s="11" t="s">
        <v>392</v>
      </c>
      <c r="I61" s="11" t="s">
        <v>372</v>
      </c>
      <c r="J61" s="11" t="s">
        <v>393</v>
      </c>
      <c r="K61" s="11"/>
      <c r="L61" s="11" t="s">
        <v>394</v>
      </c>
      <c r="M61" s="11" t="s">
        <v>376</v>
      </c>
      <c r="N61" s="13" t="s">
        <v>76</v>
      </c>
      <c r="O61" s="13" t="s">
        <v>77</v>
      </c>
      <c r="P61" s="14"/>
      <c r="Q61" s="13"/>
      <c r="R61" s="14"/>
      <c r="S61" s="14"/>
      <c r="T61" s="14"/>
    </row>
    <row r="62" spans="1:20" ht="39.6" x14ac:dyDescent="0.3">
      <c r="A62" s="9" t="s">
        <v>395</v>
      </c>
      <c r="B62" s="15" t="s">
        <v>300</v>
      </c>
      <c r="C62" s="11" t="s">
        <v>370</v>
      </c>
      <c r="D62" s="12" t="s">
        <v>156</v>
      </c>
      <c r="E62" s="11" t="s">
        <v>396</v>
      </c>
      <c r="F62" s="12" t="s">
        <v>68</v>
      </c>
      <c r="G62" s="11" t="s">
        <v>69</v>
      </c>
      <c r="H62" s="11" t="s">
        <v>397</v>
      </c>
      <c r="I62" s="11" t="s">
        <v>372</v>
      </c>
      <c r="J62" s="11" t="s">
        <v>398</v>
      </c>
      <c r="K62" s="11"/>
      <c r="L62" s="11" t="s">
        <v>399</v>
      </c>
      <c r="M62" s="11" t="s">
        <v>376</v>
      </c>
      <c r="N62" s="13" t="s">
        <v>76</v>
      </c>
      <c r="O62" s="13" t="s">
        <v>77</v>
      </c>
      <c r="P62" s="14"/>
      <c r="Q62" s="13"/>
      <c r="R62" s="14"/>
      <c r="S62" s="14"/>
      <c r="T62" s="14"/>
    </row>
    <row r="63" spans="1:20" ht="52.8" x14ac:dyDescent="0.3">
      <c r="A63" s="9" t="s">
        <v>400</v>
      </c>
      <c r="B63" s="15" t="s">
        <v>300</v>
      </c>
      <c r="C63" s="11" t="s">
        <v>370</v>
      </c>
      <c r="D63" s="12" t="s">
        <v>156</v>
      </c>
      <c r="E63" s="11" t="s">
        <v>396</v>
      </c>
      <c r="F63" s="12" t="s">
        <v>68</v>
      </c>
      <c r="G63" s="11" t="s">
        <v>401</v>
      </c>
      <c r="H63" s="11" t="s">
        <v>402</v>
      </c>
      <c r="I63" s="11" t="s">
        <v>372</v>
      </c>
      <c r="J63" s="11" t="s">
        <v>403</v>
      </c>
      <c r="K63" s="11"/>
      <c r="L63" s="11" t="s">
        <v>404</v>
      </c>
      <c r="M63" s="11" t="s">
        <v>376</v>
      </c>
      <c r="N63" s="13" t="s">
        <v>76</v>
      </c>
      <c r="O63" s="13" t="s">
        <v>77</v>
      </c>
      <c r="P63" s="14"/>
      <c r="Q63" s="13"/>
      <c r="R63" s="14"/>
      <c r="S63" s="14"/>
      <c r="T63" s="14"/>
    </row>
    <row r="64" spans="1:20" ht="39.6" x14ac:dyDescent="0.3">
      <c r="A64" s="9" t="s">
        <v>405</v>
      </c>
      <c r="B64" s="15" t="s">
        <v>300</v>
      </c>
      <c r="C64" s="11" t="s">
        <v>406</v>
      </c>
      <c r="D64" s="12" t="s">
        <v>192</v>
      </c>
      <c r="E64" s="11" t="s">
        <v>209</v>
      </c>
      <c r="F64" s="12" t="s">
        <v>68</v>
      </c>
      <c r="G64" s="11" t="s">
        <v>69</v>
      </c>
      <c r="H64" s="11" t="s">
        <v>407</v>
      </c>
      <c r="I64" s="11" t="s">
        <v>408</v>
      </c>
      <c r="J64" s="11" t="s">
        <v>409</v>
      </c>
      <c r="K64" s="11"/>
      <c r="L64" s="11" t="s">
        <v>410</v>
      </c>
      <c r="M64" s="11" t="s">
        <v>411</v>
      </c>
      <c r="N64" s="13" t="s">
        <v>76</v>
      </c>
      <c r="O64" s="13" t="s">
        <v>77</v>
      </c>
      <c r="P64" s="14"/>
      <c r="Q64" s="13"/>
      <c r="R64" s="14"/>
      <c r="S64" s="14"/>
      <c r="T64" s="14"/>
    </row>
    <row r="65" spans="1:20" ht="39.6" x14ac:dyDescent="0.3">
      <c r="A65" s="9" t="s">
        <v>412</v>
      </c>
      <c r="B65" s="15" t="s">
        <v>300</v>
      </c>
      <c r="C65" s="11" t="s">
        <v>406</v>
      </c>
      <c r="D65" s="12" t="s">
        <v>192</v>
      </c>
      <c r="E65" s="11" t="s">
        <v>209</v>
      </c>
      <c r="F65" s="12" t="s">
        <v>68</v>
      </c>
      <c r="G65" s="11" t="s">
        <v>80</v>
      </c>
      <c r="H65" s="11" t="s">
        <v>413</v>
      </c>
      <c r="I65" s="11" t="s">
        <v>408</v>
      </c>
      <c r="J65" s="11" t="s">
        <v>414</v>
      </c>
      <c r="K65" s="11"/>
      <c r="L65" s="11" t="s">
        <v>415</v>
      </c>
      <c r="M65" s="11" t="s">
        <v>411</v>
      </c>
      <c r="N65" s="13" t="s">
        <v>76</v>
      </c>
      <c r="O65" s="13" t="s">
        <v>77</v>
      </c>
      <c r="P65" s="14"/>
      <c r="Q65" s="13"/>
      <c r="R65" s="14"/>
      <c r="S65" s="14"/>
      <c r="T65" s="14"/>
    </row>
    <row r="66" spans="1:20" ht="39.6" x14ac:dyDescent="0.3">
      <c r="A66" s="9" t="s">
        <v>416</v>
      </c>
      <c r="B66" s="15" t="s">
        <v>300</v>
      </c>
      <c r="C66" s="11" t="s">
        <v>406</v>
      </c>
      <c r="D66" s="12" t="s">
        <v>192</v>
      </c>
      <c r="E66" s="11" t="s">
        <v>193</v>
      </c>
      <c r="F66" s="12" t="s">
        <v>68</v>
      </c>
      <c r="G66" s="11" t="s">
        <v>69</v>
      </c>
      <c r="H66" s="11" t="s">
        <v>417</v>
      </c>
      <c r="I66" s="11" t="s">
        <v>408</v>
      </c>
      <c r="J66" s="11" t="s">
        <v>418</v>
      </c>
      <c r="K66" s="11"/>
      <c r="L66" s="11" t="s">
        <v>419</v>
      </c>
      <c r="M66" s="11" t="s">
        <v>411</v>
      </c>
      <c r="N66" s="13" t="s">
        <v>76</v>
      </c>
      <c r="O66" s="13" t="s">
        <v>77</v>
      </c>
      <c r="P66" s="14"/>
      <c r="Q66" s="13"/>
      <c r="R66" s="14"/>
      <c r="S66" s="14"/>
      <c r="T66" s="14"/>
    </row>
    <row r="67" spans="1:20" ht="39.6" x14ac:dyDescent="0.3">
      <c r="A67" s="9" t="s">
        <v>420</v>
      </c>
      <c r="B67" s="15" t="s">
        <v>300</v>
      </c>
      <c r="C67" s="11" t="s">
        <v>406</v>
      </c>
      <c r="D67" s="12" t="s">
        <v>192</v>
      </c>
      <c r="E67" s="11" t="s">
        <v>200</v>
      </c>
      <c r="F67" s="12" t="s">
        <v>68</v>
      </c>
      <c r="G67" s="11" t="s">
        <v>69</v>
      </c>
      <c r="H67" s="11" t="s">
        <v>421</v>
      </c>
      <c r="I67" s="11" t="s">
        <v>408</v>
      </c>
      <c r="J67" s="11" t="s">
        <v>422</v>
      </c>
      <c r="K67" s="11"/>
      <c r="L67" s="11" t="s">
        <v>423</v>
      </c>
      <c r="M67" s="11" t="s">
        <v>411</v>
      </c>
      <c r="N67" s="13" t="s">
        <v>76</v>
      </c>
      <c r="O67" s="13" t="s">
        <v>77</v>
      </c>
      <c r="P67" s="14"/>
      <c r="Q67" s="13"/>
      <c r="R67" s="14"/>
      <c r="S67" s="14"/>
      <c r="T67" s="14"/>
    </row>
    <row r="68" spans="1:20" ht="39.6" x14ac:dyDescent="0.3">
      <c r="A68" s="9" t="s">
        <v>424</v>
      </c>
      <c r="B68" s="15" t="s">
        <v>300</v>
      </c>
      <c r="C68" s="11" t="s">
        <v>406</v>
      </c>
      <c r="D68" s="12" t="s">
        <v>192</v>
      </c>
      <c r="E68" s="11" t="s">
        <v>200</v>
      </c>
      <c r="F68" s="12" t="s">
        <v>68</v>
      </c>
      <c r="G68" s="11" t="s">
        <v>80</v>
      </c>
      <c r="H68" s="11" t="s">
        <v>425</v>
      </c>
      <c r="I68" s="11" t="s">
        <v>408</v>
      </c>
      <c r="J68" s="11" t="s">
        <v>426</v>
      </c>
      <c r="K68" s="11"/>
      <c r="L68" s="11" t="s">
        <v>427</v>
      </c>
      <c r="M68" s="11" t="s">
        <v>411</v>
      </c>
      <c r="N68" s="13" t="s">
        <v>76</v>
      </c>
      <c r="O68" s="13" t="s">
        <v>77</v>
      </c>
      <c r="P68" s="14"/>
      <c r="Q68" s="13"/>
      <c r="R68" s="14"/>
      <c r="S68" s="14"/>
      <c r="T68" s="14"/>
    </row>
    <row r="69" spans="1:20" ht="39.6" x14ac:dyDescent="0.3">
      <c r="A69" s="9" t="s">
        <v>428</v>
      </c>
      <c r="B69" s="15" t="s">
        <v>300</v>
      </c>
      <c r="C69" s="11" t="s">
        <v>406</v>
      </c>
      <c r="D69" s="12" t="s">
        <v>192</v>
      </c>
      <c r="E69" s="11" t="s">
        <v>429</v>
      </c>
      <c r="F69" s="12" t="s">
        <v>68</v>
      </c>
      <c r="G69" s="11" t="s">
        <v>69</v>
      </c>
      <c r="H69" s="11" t="s">
        <v>430</v>
      </c>
      <c r="I69" s="11" t="s">
        <v>408</v>
      </c>
      <c r="J69" s="11" t="s">
        <v>431</v>
      </c>
      <c r="K69" s="11"/>
      <c r="L69" s="11" t="s">
        <v>432</v>
      </c>
      <c r="M69" s="11" t="s">
        <v>411</v>
      </c>
      <c r="N69" s="13" t="s">
        <v>76</v>
      </c>
      <c r="O69" s="13" t="s">
        <v>77</v>
      </c>
      <c r="P69" s="14"/>
      <c r="Q69" s="13"/>
      <c r="R69" s="14"/>
      <c r="S69" s="14"/>
      <c r="T69" s="14"/>
    </row>
    <row r="70" spans="1:20" ht="39.6" x14ac:dyDescent="0.3">
      <c r="A70" s="9" t="s">
        <v>433</v>
      </c>
      <c r="B70" s="15" t="s">
        <v>300</v>
      </c>
      <c r="C70" s="11" t="s">
        <v>434</v>
      </c>
      <c r="D70" s="12" t="s">
        <v>192</v>
      </c>
      <c r="E70" s="11" t="s">
        <v>295</v>
      </c>
      <c r="F70" s="12" t="s">
        <v>68</v>
      </c>
      <c r="G70" s="11" t="s">
        <v>69</v>
      </c>
      <c r="H70" s="11" t="s">
        <v>435</v>
      </c>
      <c r="I70" s="11" t="s">
        <v>436</v>
      </c>
      <c r="J70" s="11" t="s">
        <v>437</v>
      </c>
      <c r="K70" s="11"/>
      <c r="L70" s="11" t="s">
        <v>438</v>
      </c>
      <c r="M70" s="11" t="s">
        <v>439</v>
      </c>
      <c r="N70" s="13" t="s">
        <v>76</v>
      </c>
      <c r="O70" s="13" t="s">
        <v>77</v>
      </c>
      <c r="P70" s="14"/>
      <c r="Q70" s="13"/>
      <c r="R70" s="14"/>
      <c r="S70" s="14"/>
      <c r="T70" s="14"/>
    </row>
    <row r="71" spans="1:20" ht="26.4" x14ac:dyDescent="0.3">
      <c r="A71" s="9" t="s">
        <v>440</v>
      </c>
      <c r="B71" s="15" t="s">
        <v>300</v>
      </c>
      <c r="C71" s="11" t="s">
        <v>434</v>
      </c>
      <c r="D71" s="12" t="s">
        <v>192</v>
      </c>
      <c r="E71" s="11" t="s">
        <v>200</v>
      </c>
      <c r="F71" s="12" t="s">
        <v>68</v>
      </c>
      <c r="G71" s="11" t="s">
        <v>69</v>
      </c>
      <c r="H71" s="11" t="s">
        <v>441</v>
      </c>
      <c r="I71" s="11" t="s">
        <v>436</v>
      </c>
      <c r="J71" s="11" t="s">
        <v>442</v>
      </c>
      <c r="K71" s="11"/>
      <c r="L71" s="11" t="s">
        <v>443</v>
      </c>
      <c r="M71" s="11" t="s">
        <v>439</v>
      </c>
      <c r="N71" s="13" t="s">
        <v>76</v>
      </c>
      <c r="O71" s="13" t="s">
        <v>77</v>
      </c>
      <c r="P71" s="14"/>
      <c r="Q71" s="13"/>
      <c r="R71" s="14"/>
      <c r="S71" s="14"/>
      <c r="T71" s="14"/>
    </row>
    <row r="72" spans="1:20" ht="39.6" x14ac:dyDescent="0.3">
      <c r="A72" s="9" t="s">
        <v>444</v>
      </c>
      <c r="B72" s="15" t="s">
        <v>300</v>
      </c>
      <c r="C72" s="11" t="s">
        <v>434</v>
      </c>
      <c r="D72" s="12" t="s">
        <v>192</v>
      </c>
      <c r="E72" s="11" t="s">
        <v>219</v>
      </c>
      <c r="F72" s="12" t="s">
        <v>68</v>
      </c>
      <c r="G72" s="11" t="s">
        <v>69</v>
      </c>
      <c r="H72" s="11" t="s">
        <v>445</v>
      </c>
      <c r="I72" s="11" t="s">
        <v>436</v>
      </c>
      <c r="J72" s="11" t="s">
        <v>446</v>
      </c>
      <c r="K72" s="11"/>
      <c r="L72" s="11" t="s">
        <v>447</v>
      </c>
      <c r="M72" s="11" t="s">
        <v>439</v>
      </c>
      <c r="N72" s="13" t="s">
        <v>76</v>
      </c>
      <c r="O72" s="13" t="s">
        <v>77</v>
      </c>
      <c r="P72" s="14"/>
      <c r="Q72" s="13"/>
      <c r="R72" s="14"/>
      <c r="S72" s="14"/>
      <c r="T72" s="14"/>
    </row>
    <row r="73" spans="1:20" ht="39.6" x14ac:dyDescent="0.3">
      <c r="A73" s="9" t="s">
        <v>448</v>
      </c>
      <c r="B73" s="15" t="s">
        <v>300</v>
      </c>
      <c r="C73" s="11" t="s">
        <v>434</v>
      </c>
      <c r="D73" s="12" t="s">
        <v>192</v>
      </c>
      <c r="E73" s="11" t="s">
        <v>429</v>
      </c>
      <c r="F73" s="12" t="s">
        <v>68</v>
      </c>
      <c r="G73" s="11" t="s">
        <v>69</v>
      </c>
      <c r="H73" s="11" t="s">
        <v>449</v>
      </c>
      <c r="I73" s="11" t="s">
        <v>436</v>
      </c>
      <c r="J73" s="11" t="s">
        <v>450</v>
      </c>
      <c r="K73" s="11"/>
      <c r="L73" s="11" t="s">
        <v>451</v>
      </c>
      <c r="M73" s="11" t="s">
        <v>439</v>
      </c>
      <c r="N73" s="13" t="s">
        <v>76</v>
      </c>
      <c r="O73" s="13" t="s">
        <v>77</v>
      </c>
      <c r="P73" s="14"/>
      <c r="Q73" s="13"/>
      <c r="R73" s="14"/>
      <c r="S73" s="14"/>
      <c r="T73" s="14"/>
    </row>
    <row r="74" spans="1:20" ht="39.6" x14ac:dyDescent="0.3">
      <c r="A74" s="9" t="s">
        <v>452</v>
      </c>
      <c r="B74" s="15" t="s">
        <v>300</v>
      </c>
      <c r="C74" s="11" t="s">
        <v>453</v>
      </c>
      <c r="D74" s="12" t="s">
        <v>250</v>
      </c>
      <c r="E74" s="11" t="s">
        <v>251</v>
      </c>
      <c r="F74" s="12" t="s">
        <v>227</v>
      </c>
      <c r="G74" s="11" t="s">
        <v>401</v>
      </c>
      <c r="H74" s="11" t="s">
        <v>454</v>
      </c>
      <c r="I74" s="11" t="s">
        <v>455</v>
      </c>
      <c r="J74" s="11" t="s">
        <v>456</v>
      </c>
      <c r="K74" s="11" t="s">
        <v>457</v>
      </c>
      <c r="L74" s="11" t="s">
        <v>458</v>
      </c>
      <c r="M74" s="11" t="s">
        <v>459</v>
      </c>
      <c r="N74" s="13" t="s">
        <v>76</v>
      </c>
      <c r="O74" s="13" t="s">
        <v>77</v>
      </c>
      <c r="P74" s="14"/>
      <c r="Q74" s="13"/>
      <c r="R74" s="14"/>
      <c r="S74" s="14"/>
      <c r="T74" s="14"/>
    </row>
    <row r="75" spans="1:20" ht="39.6" x14ac:dyDescent="0.3">
      <c r="A75" s="9" t="s">
        <v>460</v>
      </c>
      <c r="B75" s="15" t="s">
        <v>300</v>
      </c>
      <c r="C75" s="11" t="s">
        <v>453</v>
      </c>
      <c r="D75" s="12" t="s">
        <v>250</v>
      </c>
      <c r="E75" s="11" t="s">
        <v>262</v>
      </c>
      <c r="F75" s="12" t="s">
        <v>227</v>
      </c>
      <c r="G75" s="11" t="s">
        <v>69</v>
      </c>
      <c r="H75" s="11" t="s">
        <v>461</v>
      </c>
      <c r="I75" s="11" t="s">
        <v>455</v>
      </c>
      <c r="J75" s="11" t="s">
        <v>462</v>
      </c>
      <c r="K75" s="11"/>
      <c r="L75" s="11" t="s">
        <v>463</v>
      </c>
      <c r="M75" s="11" t="s">
        <v>459</v>
      </c>
      <c r="N75" s="13" t="s">
        <v>76</v>
      </c>
      <c r="O75" s="13" t="s">
        <v>77</v>
      </c>
      <c r="P75" s="14"/>
      <c r="Q75" s="13"/>
      <c r="R75" s="14"/>
      <c r="S75" s="14"/>
      <c r="T75" s="14"/>
    </row>
    <row r="76" spans="1:20" ht="39.6" x14ac:dyDescent="0.3">
      <c r="A76" s="9" t="s">
        <v>464</v>
      </c>
      <c r="B76" s="15" t="s">
        <v>300</v>
      </c>
      <c r="C76" s="11" t="s">
        <v>453</v>
      </c>
      <c r="D76" s="12" t="s">
        <v>250</v>
      </c>
      <c r="E76" s="11" t="s">
        <v>267</v>
      </c>
      <c r="F76" s="12" t="s">
        <v>227</v>
      </c>
      <c r="G76" s="11" t="s">
        <v>69</v>
      </c>
      <c r="H76" s="11" t="s">
        <v>465</v>
      </c>
      <c r="I76" s="11" t="s">
        <v>455</v>
      </c>
      <c r="J76" s="11" t="s">
        <v>466</v>
      </c>
      <c r="K76" s="11"/>
      <c r="L76" s="11" t="s">
        <v>467</v>
      </c>
      <c r="M76" s="11" t="s">
        <v>459</v>
      </c>
      <c r="N76" s="13" t="s">
        <v>76</v>
      </c>
      <c r="O76" s="13" t="s">
        <v>77</v>
      </c>
      <c r="P76" s="14"/>
      <c r="Q76" s="13"/>
      <c r="R76" s="14"/>
      <c r="S76" s="14"/>
      <c r="T76" s="14"/>
    </row>
    <row r="77" spans="1:20" ht="26.4" x14ac:dyDescent="0.3">
      <c r="A77" s="9" t="s">
        <v>468</v>
      </c>
      <c r="B77" s="15" t="s">
        <v>300</v>
      </c>
      <c r="C77" s="11" t="s">
        <v>453</v>
      </c>
      <c r="D77" s="12" t="s">
        <v>250</v>
      </c>
      <c r="E77" s="11" t="s">
        <v>469</v>
      </c>
      <c r="F77" s="12" t="s">
        <v>227</v>
      </c>
      <c r="G77" s="11" t="s">
        <v>80</v>
      </c>
      <c r="H77" s="11" t="s">
        <v>470</v>
      </c>
      <c r="I77" s="11" t="s">
        <v>455</v>
      </c>
      <c r="J77" s="11" t="s">
        <v>471</v>
      </c>
      <c r="K77" s="11"/>
      <c r="L77" s="11" t="s">
        <v>472</v>
      </c>
      <c r="M77" s="11" t="s">
        <v>459</v>
      </c>
      <c r="N77" s="13" t="s">
        <v>76</v>
      </c>
      <c r="O77" s="13" t="s">
        <v>77</v>
      </c>
      <c r="P77" s="14"/>
      <c r="Q77" s="13"/>
      <c r="R77" s="14"/>
      <c r="S77" s="14"/>
      <c r="T77" s="14"/>
    </row>
    <row r="78" spans="1:20" ht="39.6" x14ac:dyDescent="0.3">
      <c r="A78" s="9" t="s">
        <v>473</v>
      </c>
      <c r="B78" s="15" t="s">
        <v>300</v>
      </c>
      <c r="C78" s="11" t="s">
        <v>474</v>
      </c>
      <c r="D78" s="12" t="s">
        <v>66</v>
      </c>
      <c r="E78" s="11" t="s">
        <v>79</v>
      </c>
      <c r="F78" s="12" t="s">
        <v>68</v>
      </c>
      <c r="G78" s="11" t="s">
        <v>80</v>
      </c>
      <c r="H78" s="11" t="s">
        <v>475</v>
      </c>
      <c r="I78" s="11" t="s">
        <v>476</v>
      </c>
      <c r="J78" s="11" t="s">
        <v>477</v>
      </c>
      <c r="K78" s="11"/>
      <c r="L78" s="11" t="s">
        <v>478</v>
      </c>
      <c r="M78" s="11" t="s">
        <v>479</v>
      </c>
      <c r="N78" s="13" t="s">
        <v>76</v>
      </c>
      <c r="O78" s="13" t="s">
        <v>77</v>
      </c>
      <c r="P78" s="14"/>
      <c r="Q78" s="13"/>
      <c r="R78" s="14"/>
      <c r="S78" s="14"/>
      <c r="T78" s="14"/>
    </row>
    <row r="79" spans="1:20" ht="39.6" x14ac:dyDescent="0.3">
      <c r="A79" s="9" t="s">
        <v>480</v>
      </c>
      <c r="B79" s="15" t="s">
        <v>300</v>
      </c>
      <c r="C79" s="11" t="s">
        <v>474</v>
      </c>
      <c r="D79" s="12" t="s">
        <v>99</v>
      </c>
      <c r="E79" s="11" t="s">
        <v>100</v>
      </c>
      <c r="F79" s="12" t="s">
        <v>68</v>
      </c>
      <c r="G79" s="11" t="s">
        <v>80</v>
      </c>
      <c r="H79" s="11" t="s">
        <v>481</v>
      </c>
      <c r="I79" s="11" t="s">
        <v>476</v>
      </c>
      <c r="J79" s="11" t="s">
        <v>482</v>
      </c>
      <c r="K79" s="11"/>
      <c r="L79" s="11" t="s">
        <v>483</v>
      </c>
      <c r="M79" s="11" t="s">
        <v>479</v>
      </c>
      <c r="N79" s="13" t="s">
        <v>76</v>
      </c>
      <c r="O79" s="13" t="s">
        <v>77</v>
      </c>
      <c r="P79" s="14"/>
      <c r="Q79" s="13"/>
      <c r="R79" s="14"/>
      <c r="S79" s="14"/>
      <c r="T79" s="14"/>
    </row>
    <row r="80" spans="1:20" ht="39.6" x14ac:dyDescent="0.3">
      <c r="A80" s="9" t="s">
        <v>484</v>
      </c>
      <c r="B80" s="15" t="s">
        <v>300</v>
      </c>
      <c r="C80" s="11" t="s">
        <v>474</v>
      </c>
      <c r="D80" s="12" t="s">
        <v>99</v>
      </c>
      <c r="E80" s="11" t="s">
        <v>150</v>
      </c>
      <c r="F80" s="12" t="s">
        <v>68</v>
      </c>
      <c r="G80" s="11" t="s">
        <v>80</v>
      </c>
      <c r="H80" s="11" t="s">
        <v>485</v>
      </c>
      <c r="I80" s="11" t="s">
        <v>476</v>
      </c>
      <c r="J80" s="11" t="s">
        <v>486</v>
      </c>
      <c r="K80" s="11"/>
      <c r="L80" s="11" t="s">
        <v>487</v>
      </c>
      <c r="M80" s="11" t="s">
        <v>479</v>
      </c>
      <c r="N80" s="13" t="s">
        <v>76</v>
      </c>
      <c r="O80" s="13" t="s">
        <v>77</v>
      </c>
      <c r="P80" s="14"/>
      <c r="Q80" s="13"/>
      <c r="R80" s="14"/>
      <c r="S80" s="14"/>
      <c r="T80" s="14"/>
    </row>
    <row r="81" spans="1:20" ht="52.8" x14ac:dyDescent="0.3">
      <c r="A81" s="9" t="s">
        <v>488</v>
      </c>
      <c r="B81" s="15" t="s">
        <v>300</v>
      </c>
      <c r="C81" s="11" t="s">
        <v>474</v>
      </c>
      <c r="D81" s="12" t="s">
        <v>225</v>
      </c>
      <c r="E81" s="11" t="s">
        <v>489</v>
      </c>
      <c r="F81" s="12" t="s">
        <v>68</v>
      </c>
      <c r="G81" s="11" t="s">
        <v>214</v>
      </c>
      <c r="H81" s="11" t="s">
        <v>490</v>
      </c>
      <c r="I81" s="11" t="s">
        <v>476</v>
      </c>
      <c r="J81" s="11" t="s">
        <v>491</v>
      </c>
      <c r="K81" s="11"/>
      <c r="L81" s="11" t="s">
        <v>492</v>
      </c>
      <c r="M81" s="11" t="s">
        <v>479</v>
      </c>
      <c r="N81" s="13" t="s">
        <v>76</v>
      </c>
      <c r="O81" s="13" t="s">
        <v>77</v>
      </c>
      <c r="P81" s="14"/>
      <c r="Q81" s="13"/>
      <c r="R81" s="14"/>
      <c r="S81" s="14"/>
      <c r="T81" s="14"/>
    </row>
    <row r="82" spans="1:20" ht="39.6" x14ac:dyDescent="0.3">
      <c r="A82" s="9" t="s">
        <v>493</v>
      </c>
      <c r="B82" s="16" t="s">
        <v>494</v>
      </c>
      <c r="C82" s="11" t="s">
        <v>495</v>
      </c>
      <c r="D82" s="12" t="s">
        <v>496</v>
      </c>
      <c r="E82" s="11" t="s">
        <v>497</v>
      </c>
      <c r="F82" s="12" t="s">
        <v>68</v>
      </c>
      <c r="G82" s="11" t="s">
        <v>498</v>
      </c>
      <c r="H82" s="11" t="s">
        <v>499</v>
      </c>
      <c r="I82" s="11" t="s">
        <v>500</v>
      </c>
      <c r="J82" s="11" t="s">
        <v>501</v>
      </c>
      <c r="K82" s="11" t="s">
        <v>502</v>
      </c>
      <c r="L82" s="11" t="s">
        <v>503</v>
      </c>
      <c r="M82" s="11" t="s">
        <v>504</v>
      </c>
      <c r="N82" s="13" t="s">
        <v>76</v>
      </c>
      <c r="O82" s="13" t="s">
        <v>77</v>
      </c>
      <c r="P82" s="14"/>
      <c r="Q82" s="13"/>
      <c r="R82" s="14"/>
      <c r="S82" s="14"/>
      <c r="T82" s="14"/>
    </row>
    <row r="83" spans="1:20" ht="39.6" x14ac:dyDescent="0.3">
      <c r="A83" s="9" t="s">
        <v>505</v>
      </c>
      <c r="B83" s="16" t="s">
        <v>494</v>
      </c>
      <c r="C83" s="11" t="s">
        <v>495</v>
      </c>
      <c r="D83" s="12" t="s">
        <v>506</v>
      </c>
      <c r="E83" s="11" t="s">
        <v>507</v>
      </c>
      <c r="F83" s="12" t="s">
        <v>68</v>
      </c>
      <c r="G83" s="11" t="s">
        <v>498</v>
      </c>
      <c r="H83" s="11" t="s">
        <v>508</v>
      </c>
      <c r="I83" s="11" t="s">
        <v>500</v>
      </c>
      <c r="J83" s="11" t="s">
        <v>509</v>
      </c>
      <c r="K83" s="11" t="s">
        <v>510</v>
      </c>
      <c r="L83" s="11" t="s">
        <v>511</v>
      </c>
      <c r="M83" s="11" t="s">
        <v>504</v>
      </c>
      <c r="N83" s="13" t="s">
        <v>76</v>
      </c>
      <c r="O83" s="13" t="s">
        <v>77</v>
      </c>
      <c r="P83" s="14"/>
      <c r="Q83" s="13"/>
      <c r="R83" s="14"/>
      <c r="S83" s="14"/>
      <c r="T83" s="14"/>
    </row>
    <row r="84" spans="1:20" ht="39.6" x14ac:dyDescent="0.3">
      <c r="A84" s="9" t="s">
        <v>512</v>
      </c>
      <c r="B84" s="16" t="s">
        <v>494</v>
      </c>
      <c r="C84" s="11" t="s">
        <v>495</v>
      </c>
      <c r="D84" s="12" t="s">
        <v>99</v>
      </c>
      <c r="E84" s="11" t="s">
        <v>150</v>
      </c>
      <c r="F84" s="12" t="s">
        <v>68</v>
      </c>
      <c r="G84" s="11" t="s">
        <v>498</v>
      </c>
      <c r="H84" s="11" t="s">
        <v>513</v>
      </c>
      <c r="I84" s="11" t="s">
        <v>500</v>
      </c>
      <c r="J84" s="11" t="s">
        <v>514</v>
      </c>
      <c r="K84" s="11" t="s">
        <v>510</v>
      </c>
      <c r="L84" s="11" t="s">
        <v>515</v>
      </c>
      <c r="M84" s="11" t="s">
        <v>504</v>
      </c>
      <c r="N84" s="13" t="s">
        <v>76</v>
      </c>
      <c r="O84" s="13" t="s">
        <v>77</v>
      </c>
      <c r="P84" s="14"/>
      <c r="Q84" s="13"/>
      <c r="R84" s="14"/>
      <c r="S84" s="14"/>
      <c r="T84" s="14"/>
    </row>
    <row r="85" spans="1:20" ht="39.6" x14ac:dyDescent="0.3">
      <c r="A85" s="9" t="s">
        <v>516</v>
      </c>
      <c r="B85" s="16" t="s">
        <v>494</v>
      </c>
      <c r="C85" s="11" t="s">
        <v>495</v>
      </c>
      <c r="D85" s="12" t="s">
        <v>99</v>
      </c>
      <c r="E85" s="11" t="s">
        <v>517</v>
      </c>
      <c r="F85" s="12" t="s">
        <v>68</v>
      </c>
      <c r="G85" s="11" t="s">
        <v>498</v>
      </c>
      <c r="H85" s="11" t="s">
        <v>518</v>
      </c>
      <c r="I85" s="11" t="s">
        <v>500</v>
      </c>
      <c r="J85" s="11" t="s">
        <v>519</v>
      </c>
      <c r="K85" s="11" t="s">
        <v>520</v>
      </c>
      <c r="L85" s="11" t="s">
        <v>521</v>
      </c>
      <c r="M85" s="11" t="s">
        <v>504</v>
      </c>
      <c r="N85" s="13" t="s">
        <v>76</v>
      </c>
      <c r="O85" s="13" t="s">
        <v>77</v>
      </c>
      <c r="P85" s="14"/>
      <c r="Q85" s="13"/>
      <c r="R85" s="14"/>
      <c r="S85" s="14"/>
      <c r="T85" s="14"/>
    </row>
    <row r="86" spans="1:20" ht="39.6" x14ac:dyDescent="0.3">
      <c r="A86" s="9" t="s">
        <v>522</v>
      </c>
      <c r="B86" s="16" t="s">
        <v>494</v>
      </c>
      <c r="C86" s="11" t="s">
        <v>523</v>
      </c>
      <c r="D86" s="12" t="s">
        <v>156</v>
      </c>
      <c r="E86" s="11" t="s">
        <v>186</v>
      </c>
      <c r="F86" s="12" t="s">
        <v>68</v>
      </c>
      <c r="G86" s="11" t="s">
        <v>498</v>
      </c>
      <c r="H86" s="11" t="s">
        <v>524</v>
      </c>
      <c r="I86" s="11" t="s">
        <v>500</v>
      </c>
      <c r="J86" s="11" t="s">
        <v>525</v>
      </c>
      <c r="K86" s="11" t="s">
        <v>526</v>
      </c>
      <c r="L86" s="11" t="s">
        <v>515</v>
      </c>
      <c r="M86" s="11" t="s">
        <v>527</v>
      </c>
      <c r="N86" s="13" t="s">
        <v>76</v>
      </c>
      <c r="O86" s="13" t="s">
        <v>77</v>
      </c>
      <c r="P86" s="14"/>
      <c r="Q86" s="13"/>
      <c r="R86" s="14"/>
      <c r="S86" s="14"/>
      <c r="T86" s="14"/>
    </row>
    <row r="87" spans="1:20" ht="39.6" x14ac:dyDescent="0.3">
      <c r="A87" s="9" t="s">
        <v>528</v>
      </c>
      <c r="B87" s="16" t="s">
        <v>494</v>
      </c>
      <c r="C87" s="11" t="s">
        <v>523</v>
      </c>
      <c r="D87" s="12" t="s">
        <v>529</v>
      </c>
      <c r="E87" s="11" t="s">
        <v>530</v>
      </c>
      <c r="F87" s="12" t="s">
        <v>68</v>
      </c>
      <c r="G87" s="11" t="s">
        <v>498</v>
      </c>
      <c r="H87" s="11" t="s">
        <v>531</v>
      </c>
      <c r="I87" s="11" t="s">
        <v>500</v>
      </c>
      <c r="J87" s="11" t="s">
        <v>532</v>
      </c>
      <c r="K87" s="11" t="s">
        <v>526</v>
      </c>
      <c r="L87" s="11" t="s">
        <v>515</v>
      </c>
      <c r="M87" s="11" t="s">
        <v>527</v>
      </c>
      <c r="N87" s="13" t="s">
        <v>76</v>
      </c>
      <c r="O87" s="13" t="s">
        <v>77</v>
      </c>
      <c r="P87" s="14"/>
      <c r="Q87" s="13"/>
      <c r="R87" s="14"/>
      <c r="S87" s="14"/>
      <c r="T87" s="14"/>
    </row>
    <row r="88" spans="1:20" ht="39.6" x14ac:dyDescent="0.3">
      <c r="A88" s="9" t="s">
        <v>533</v>
      </c>
      <c r="B88" s="16" t="s">
        <v>494</v>
      </c>
      <c r="C88" s="11" t="s">
        <v>523</v>
      </c>
      <c r="D88" s="12" t="s">
        <v>156</v>
      </c>
      <c r="E88" s="11" t="s">
        <v>180</v>
      </c>
      <c r="F88" s="12" t="s">
        <v>68</v>
      </c>
      <c r="G88" s="11" t="s">
        <v>498</v>
      </c>
      <c r="H88" s="11" t="s">
        <v>534</v>
      </c>
      <c r="I88" s="11" t="s">
        <v>500</v>
      </c>
      <c r="J88" s="11" t="s">
        <v>535</v>
      </c>
      <c r="K88" s="11" t="s">
        <v>526</v>
      </c>
      <c r="L88" s="11" t="s">
        <v>515</v>
      </c>
      <c r="M88" s="11" t="s">
        <v>527</v>
      </c>
      <c r="N88" s="13" t="s">
        <v>76</v>
      </c>
      <c r="O88" s="13" t="s">
        <v>77</v>
      </c>
      <c r="P88" s="14"/>
      <c r="Q88" s="13"/>
      <c r="R88" s="14"/>
      <c r="S88" s="14"/>
      <c r="T88" s="14"/>
    </row>
    <row r="89" spans="1:20" ht="52.8" x14ac:dyDescent="0.3">
      <c r="A89" s="9" t="s">
        <v>536</v>
      </c>
      <c r="B89" s="16" t="s">
        <v>494</v>
      </c>
      <c r="C89" s="11" t="s">
        <v>523</v>
      </c>
      <c r="D89" s="12" t="s">
        <v>537</v>
      </c>
      <c r="E89" s="11" t="s">
        <v>538</v>
      </c>
      <c r="F89" s="12" t="s">
        <v>68</v>
      </c>
      <c r="G89" s="11" t="s">
        <v>498</v>
      </c>
      <c r="H89" s="11" t="s">
        <v>539</v>
      </c>
      <c r="I89" s="11" t="s">
        <v>500</v>
      </c>
      <c r="J89" s="11" t="s">
        <v>540</v>
      </c>
      <c r="K89" s="11" t="s">
        <v>541</v>
      </c>
      <c r="L89" s="11" t="s">
        <v>515</v>
      </c>
      <c r="M89" s="11" t="s">
        <v>527</v>
      </c>
      <c r="N89" s="13" t="s">
        <v>76</v>
      </c>
      <c r="O89" s="13" t="s">
        <v>77</v>
      </c>
      <c r="P89" s="14"/>
      <c r="Q89" s="13"/>
      <c r="R89" s="14"/>
      <c r="S89" s="14"/>
      <c r="T89" s="14"/>
    </row>
    <row r="90" spans="1:20" ht="39.6" x14ac:dyDescent="0.3">
      <c r="A90" s="9" t="s">
        <v>542</v>
      </c>
      <c r="B90" s="16" t="s">
        <v>494</v>
      </c>
      <c r="C90" s="11" t="s">
        <v>543</v>
      </c>
      <c r="D90" s="12" t="s">
        <v>192</v>
      </c>
      <c r="E90" s="11" t="s">
        <v>209</v>
      </c>
      <c r="F90" s="12" t="s">
        <v>68</v>
      </c>
      <c r="G90" s="11" t="s">
        <v>498</v>
      </c>
      <c r="H90" s="11" t="s">
        <v>544</v>
      </c>
      <c r="I90" s="11" t="s">
        <v>500</v>
      </c>
      <c r="J90" s="11" t="s">
        <v>545</v>
      </c>
      <c r="K90" s="11" t="s">
        <v>546</v>
      </c>
      <c r="L90" s="11" t="s">
        <v>515</v>
      </c>
      <c r="M90" s="11" t="s">
        <v>547</v>
      </c>
      <c r="N90" s="13" t="s">
        <v>76</v>
      </c>
      <c r="O90" s="13" t="s">
        <v>77</v>
      </c>
      <c r="P90" s="14"/>
      <c r="Q90" s="13"/>
      <c r="R90" s="14"/>
      <c r="S90" s="14"/>
      <c r="T90" s="14"/>
    </row>
    <row r="91" spans="1:20" ht="39.6" x14ac:dyDescent="0.3">
      <c r="A91" s="9" t="s">
        <v>548</v>
      </c>
      <c r="B91" s="16" t="s">
        <v>494</v>
      </c>
      <c r="C91" s="11" t="s">
        <v>543</v>
      </c>
      <c r="D91" s="12" t="s">
        <v>192</v>
      </c>
      <c r="E91" s="11" t="s">
        <v>193</v>
      </c>
      <c r="F91" s="12" t="s">
        <v>68</v>
      </c>
      <c r="G91" s="11" t="s">
        <v>498</v>
      </c>
      <c r="H91" s="11" t="s">
        <v>549</v>
      </c>
      <c r="I91" s="11" t="s">
        <v>500</v>
      </c>
      <c r="J91" s="11" t="s">
        <v>550</v>
      </c>
      <c r="K91" s="11" t="s">
        <v>551</v>
      </c>
      <c r="L91" s="11" t="s">
        <v>515</v>
      </c>
      <c r="M91" s="11" t="s">
        <v>547</v>
      </c>
      <c r="N91" s="13" t="s">
        <v>76</v>
      </c>
      <c r="O91" s="13" t="s">
        <v>77</v>
      </c>
      <c r="P91" s="14"/>
      <c r="Q91" s="13"/>
      <c r="R91" s="14"/>
      <c r="S91" s="14"/>
      <c r="T91" s="14"/>
    </row>
    <row r="92" spans="1:20" ht="39.6" x14ac:dyDescent="0.3">
      <c r="A92" s="9" t="s">
        <v>552</v>
      </c>
      <c r="B92" s="16" t="s">
        <v>494</v>
      </c>
      <c r="C92" s="11" t="s">
        <v>543</v>
      </c>
      <c r="D92" s="12" t="s">
        <v>192</v>
      </c>
      <c r="E92" s="11" t="s">
        <v>200</v>
      </c>
      <c r="F92" s="12" t="s">
        <v>68</v>
      </c>
      <c r="G92" s="11" t="s">
        <v>498</v>
      </c>
      <c r="H92" s="11" t="s">
        <v>553</v>
      </c>
      <c r="I92" s="11" t="s">
        <v>500</v>
      </c>
      <c r="J92" s="11" t="s">
        <v>554</v>
      </c>
      <c r="K92" s="11" t="s">
        <v>555</v>
      </c>
      <c r="L92" s="11" t="s">
        <v>515</v>
      </c>
      <c r="M92" s="11" t="s">
        <v>547</v>
      </c>
      <c r="N92" s="13" t="s">
        <v>76</v>
      </c>
      <c r="O92" s="13" t="s">
        <v>77</v>
      </c>
      <c r="P92" s="14"/>
      <c r="Q92" s="13"/>
      <c r="R92" s="14"/>
      <c r="S92" s="14"/>
      <c r="T92" s="14"/>
    </row>
    <row r="93" spans="1:20" ht="39.6" x14ac:dyDescent="0.3">
      <c r="A93" s="9" t="s">
        <v>556</v>
      </c>
      <c r="B93" s="16" t="s">
        <v>494</v>
      </c>
      <c r="C93" s="11" t="s">
        <v>543</v>
      </c>
      <c r="D93" s="12" t="s">
        <v>192</v>
      </c>
      <c r="E93" s="11" t="s">
        <v>219</v>
      </c>
      <c r="F93" s="12" t="s">
        <v>68</v>
      </c>
      <c r="G93" s="11" t="s">
        <v>498</v>
      </c>
      <c r="H93" s="11" t="s">
        <v>557</v>
      </c>
      <c r="I93" s="11" t="s">
        <v>500</v>
      </c>
      <c r="J93" s="11" t="s">
        <v>558</v>
      </c>
      <c r="K93" s="11" t="s">
        <v>559</v>
      </c>
      <c r="L93" s="11" t="s">
        <v>515</v>
      </c>
      <c r="M93" s="11" t="s">
        <v>547</v>
      </c>
      <c r="N93" s="13" t="s">
        <v>76</v>
      </c>
      <c r="O93" s="13" t="s">
        <v>77</v>
      </c>
      <c r="P93" s="14"/>
      <c r="Q93" s="13"/>
      <c r="R93" s="14"/>
      <c r="S93" s="14"/>
      <c r="T93" s="14"/>
    </row>
    <row r="94" spans="1:20" ht="39.6" x14ac:dyDescent="0.3">
      <c r="A94" s="9" t="s">
        <v>560</v>
      </c>
      <c r="B94" s="16" t="s">
        <v>494</v>
      </c>
      <c r="C94" s="11" t="s">
        <v>561</v>
      </c>
      <c r="D94" s="12" t="s">
        <v>99</v>
      </c>
      <c r="E94" s="11" t="s">
        <v>100</v>
      </c>
      <c r="F94" s="12" t="s">
        <v>68</v>
      </c>
      <c r="G94" s="11" t="s">
        <v>498</v>
      </c>
      <c r="H94" s="11" t="s">
        <v>562</v>
      </c>
      <c r="I94" s="11" t="s">
        <v>500</v>
      </c>
      <c r="J94" s="11" t="s">
        <v>563</v>
      </c>
      <c r="K94" s="11" t="s">
        <v>564</v>
      </c>
      <c r="L94" s="11" t="s">
        <v>515</v>
      </c>
      <c r="M94" s="11" t="s">
        <v>565</v>
      </c>
      <c r="N94" s="13" t="s">
        <v>76</v>
      </c>
      <c r="O94" s="13" t="s">
        <v>77</v>
      </c>
      <c r="P94" s="14"/>
      <c r="Q94" s="13"/>
      <c r="R94" s="14"/>
      <c r="S94" s="14"/>
      <c r="T94" s="14"/>
    </row>
    <row r="95" spans="1:20" ht="39.6" x14ac:dyDescent="0.3">
      <c r="A95" s="9" t="s">
        <v>566</v>
      </c>
      <c r="B95" s="16" t="s">
        <v>494</v>
      </c>
      <c r="C95" s="11" t="s">
        <v>561</v>
      </c>
      <c r="D95" s="12" t="s">
        <v>496</v>
      </c>
      <c r="E95" s="11" t="s">
        <v>567</v>
      </c>
      <c r="F95" s="12" t="s">
        <v>68</v>
      </c>
      <c r="G95" s="11" t="s">
        <v>568</v>
      </c>
      <c r="H95" s="11" t="s">
        <v>569</v>
      </c>
      <c r="I95" s="11" t="s">
        <v>500</v>
      </c>
      <c r="J95" s="11" t="s">
        <v>570</v>
      </c>
      <c r="K95" s="11" t="s">
        <v>571</v>
      </c>
      <c r="L95" s="11" t="s">
        <v>572</v>
      </c>
      <c r="M95" s="11" t="s">
        <v>565</v>
      </c>
      <c r="N95" s="13" t="s">
        <v>76</v>
      </c>
      <c r="O95" s="13" t="s">
        <v>77</v>
      </c>
      <c r="P95" s="14"/>
      <c r="Q95" s="13"/>
      <c r="R95" s="14"/>
      <c r="S95" s="14"/>
      <c r="T95" s="14"/>
    </row>
    <row r="96" spans="1:20" ht="39.6" x14ac:dyDescent="0.3">
      <c r="A96" s="9" t="s">
        <v>573</v>
      </c>
      <c r="B96" s="16" t="s">
        <v>494</v>
      </c>
      <c r="C96" s="11" t="s">
        <v>561</v>
      </c>
      <c r="D96" s="12" t="s">
        <v>99</v>
      </c>
      <c r="E96" s="11" t="s">
        <v>145</v>
      </c>
      <c r="F96" s="12" t="s">
        <v>68</v>
      </c>
      <c r="G96" s="11" t="s">
        <v>498</v>
      </c>
      <c r="H96" s="11" t="s">
        <v>574</v>
      </c>
      <c r="I96" s="11" t="s">
        <v>500</v>
      </c>
      <c r="J96" s="11" t="s">
        <v>575</v>
      </c>
      <c r="K96" s="11" t="s">
        <v>576</v>
      </c>
      <c r="L96" s="11" t="s">
        <v>577</v>
      </c>
      <c r="M96" s="11" t="s">
        <v>565</v>
      </c>
      <c r="N96" s="13" t="s">
        <v>76</v>
      </c>
      <c r="O96" s="13" t="s">
        <v>77</v>
      </c>
      <c r="P96" s="14"/>
      <c r="Q96" s="13"/>
      <c r="R96" s="14"/>
      <c r="S96" s="14"/>
      <c r="T96" s="14"/>
    </row>
    <row r="97" spans="1:20" ht="39.6" x14ac:dyDescent="0.3">
      <c r="A97" s="9" t="s">
        <v>578</v>
      </c>
      <c r="B97" s="16" t="s">
        <v>494</v>
      </c>
      <c r="C97" s="11" t="s">
        <v>561</v>
      </c>
      <c r="D97" s="12" t="s">
        <v>250</v>
      </c>
      <c r="E97" s="11" t="s">
        <v>579</v>
      </c>
      <c r="F97" s="12" t="s">
        <v>68</v>
      </c>
      <c r="G97" s="11" t="s">
        <v>498</v>
      </c>
      <c r="H97" s="11" t="s">
        <v>580</v>
      </c>
      <c r="I97" s="11" t="s">
        <v>500</v>
      </c>
      <c r="J97" s="11" t="s">
        <v>581</v>
      </c>
      <c r="K97" s="11" t="s">
        <v>582</v>
      </c>
      <c r="L97" s="11" t="s">
        <v>583</v>
      </c>
      <c r="M97" s="11" t="s">
        <v>565</v>
      </c>
      <c r="N97" s="13" t="s">
        <v>76</v>
      </c>
      <c r="O97" s="13" t="s">
        <v>77</v>
      </c>
      <c r="P97" s="14"/>
      <c r="Q97" s="13"/>
      <c r="R97" s="14"/>
      <c r="S97" s="14"/>
      <c r="T97" s="14"/>
    </row>
    <row r="98" spans="1:20" ht="39.6" x14ac:dyDescent="0.3">
      <c r="A98" s="9" t="s">
        <v>584</v>
      </c>
      <c r="B98" s="16" t="s">
        <v>494</v>
      </c>
      <c r="C98" s="11" t="s">
        <v>585</v>
      </c>
      <c r="D98" s="12" t="s">
        <v>250</v>
      </c>
      <c r="E98" s="11" t="s">
        <v>586</v>
      </c>
      <c r="F98" s="12" t="s">
        <v>68</v>
      </c>
      <c r="G98" s="11" t="s">
        <v>587</v>
      </c>
      <c r="H98" s="11" t="s">
        <v>588</v>
      </c>
      <c r="I98" s="11" t="s">
        <v>500</v>
      </c>
      <c r="J98" s="11" t="s">
        <v>589</v>
      </c>
      <c r="K98" s="11" t="s">
        <v>590</v>
      </c>
      <c r="L98" s="11" t="s">
        <v>591</v>
      </c>
      <c r="M98" s="11" t="s">
        <v>592</v>
      </c>
      <c r="N98" s="13" t="s">
        <v>76</v>
      </c>
      <c r="O98" s="13" t="s">
        <v>77</v>
      </c>
      <c r="P98" s="14"/>
      <c r="Q98" s="13"/>
      <c r="R98" s="14"/>
      <c r="S98" s="14"/>
      <c r="T98" s="14"/>
    </row>
    <row r="99" spans="1:20" ht="39.6" x14ac:dyDescent="0.3">
      <c r="A99" s="9" t="s">
        <v>593</v>
      </c>
      <c r="B99" s="16" t="s">
        <v>494</v>
      </c>
      <c r="C99" s="11" t="s">
        <v>585</v>
      </c>
      <c r="D99" s="12" t="s">
        <v>250</v>
      </c>
      <c r="E99" s="11" t="s">
        <v>586</v>
      </c>
      <c r="F99" s="12" t="s">
        <v>68</v>
      </c>
      <c r="G99" s="11" t="s">
        <v>587</v>
      </c>
      <c r="H99" s="11" t="s">
        <v>594</v>
      </c>
      <c r="I99" s="11" t="s">
        <v>500</v>
      </c>
      <c r="J99" s="11" t="s">
        <v>595</v>
      </c>
      <c r="K99" s="11" t="s">
        <v>596</v>
      </c>
      <c r="L99" s="11" t="s">
        <v>515</v>
      </c>
      <c r="M99" s="11" t="s">
        <v>592</v>
      </c>
      <c r="N99" s="13" t="s">
        <v>76</v>
      </c>
      <c r="O99" s="13" t="s">
        <v>77</v>
      </c>
      <c r="P99" s="14"/>
      <c r="Q99" s="13"/>
      <c r="R99" s="14"/>
      <c r="S99" s="14"/>
      <c r="T99" s="14"/>
    </row>
    <row r="100" spans="1:20" ht="39.6" x14ac:dyDescent="0.3">
      <c r="A100" s="9" t="s">
        <v>597</v>
      </c>
      <c r="B100" s="16" t="s">
        <v>494</v>
      </c>
      <c r="C100" s="11" t="s">
        <v>585</v>
      </c>
      <c r="D100" s="12" t="s">
        <v>192</v>
      </c>
      <c r="E100" s="11" t="s">
        <v>429</v>
      </c>
      <c r="F100" s="12" t="s">
        <v>68</v>
      </c>
      <c r="G100" s="11" t="s">
        <v>587</v>
      </c>
      <c r="H100" s="11" t="s">
        <v>598</v>
      </c>
      <c r="I100" s="11" t="s">
        <v>500</v>
      </c>
      <c r="J100" s="11" t="s">
        <v>599</v>
      </c>
      <c r="K100" s="11" t="s">
        <v>600</v>
      </c>
      <c r="L100" s="11" t="s">
        <v>515</v>
      </c>
      <c r="M100" s="11" t="s">
        <v>592</v>
      </c>
      <c r="N100" s="13" t="s">
        <v>76</v>
      </c>
      <c r="O100" s="13" t="s">
        <v>77</v>
      </c>
      <c r="P100" s="14"/>
      <c r="Q100" s="13"/>
      <c r="R100" s="14"/>
      <c r="S100" s="14"/>
      <c r="T100" s="14"/>
    </row>
    <row r="101" spans="1:20" ht="52.8" x14ac:dyDescent="0.3">
      <c r="A101" s="9" t="s">
        <v>601</v>
      </c>
      <c r="B101" s="16" t="s">
        <v>494</v>
      </c>
      <c r="C101" s="11" t="s">
        <v>585</v>
      </c>
      <c r="D101" s="12" t="s">
        <v>496</v>
      </c>
      <c r="E101" s="11" t="s">
        <v>602</v>
      </c>
      <c r="F101" s="12" t="s">
        <v>68</v>
      </c>
      <c r="G101" s="11" t="s">
        <v>498</v>
      </c>
      <c r="H101" s="11" t="s">
        <v>603</v>
      </c>
      <c r="I101" s="11" t="s">
        <v>500</v>
      </c>
      <c r="J101" s="11" t="s">
        <v>604</v>
      </c>
      <c r="K101" s="11" t="s">
        <v>605</v>
      </c>
      <c r="L101" s="11" t="s">
        <v>515</v>
      </c>
      <c r="M101" s="11" t="s">
        <v>592</v>
      </c>
      <c r="N101" s="13" t="s">
        <v>76</v>
      </c>
      <c r="O101" s="13" t="s">
        <v>77</v>
      </c>
      <c r="P101" s="14"/>
      <c r="Q101" s="13"/>
      <c r="R101" s="14"/>
      <c r="S101" s="14"/>
      <c r="T101" s="14"/>
    </row>
    <row r="102" spans="1:20" ht="132" x14ac:dyDescent="0.3">
      <c r="A102" s="9" t="s">
        <v>606</v>
      </c>
      <c r="B102" s="17" t="s">
        <v>607</v>
      </c>
      <c r="C102" s="11" t="s">
        <v>608</v>
      </c>
      <c r="D102" s="12" t="s">
        <v>609</v>
      </c>
      <c r="E102" s="11" t="s">
        <v>610</v>
      </c>
      <c r="F102" s="12" t="s">
        <v>68</v>
      </c>
      <c r="G102" s="11" t="s">
        <v>611</v>
      </c>
      <c r="H102" s="11" t="s">
        <v>608</v>
      </c>
      <c r="I102" s="11" t="s">
        <v>612</v>
      </c>
      <c r="J102" s="11" t="s">
        <v>613</v>
      </c>
      <c r="K102" s="11"/>
      <c r="L102" s="11" t="s">
        <v>614</v>
      </c>
      <c r="M102" s="11" t="s">
        <v>615</v>
      </c>
      <c r="N102" s="13" t="s">
        <v>76</v>
      </c>
      <c r="O102" s="13" t="s">
        <v>77</v>
      </c>
      <c r="P102" s="14"/>
      <c r="Q102" s="13"/>
      <c r="R102" s="14"/>
      <c r="S102" s="14"/>
      <c r="T102" s="14"/>
    </row>
    <row r="103" spans="1:20" ht="105.6" x14ac:dyDescent="0.3">
      <c r="A103" s="9" t="s">
        <v>616</v>
      </c>
      <c r="B103" s="17" t="s">
        <v>607</v>
      </c>
      <c r="C103" s="11" t="s">
        <v>617</v>
      </c>
      <c r="D103" s="12" t="s">
        <v>609</v>
      </c>
      <c r="E103" s="11" t="s">
        <v>618</v>
      </c>
      <c r="F103" s="12" t="s">
        <v>68</v>
      </c>
      <c r="G103" s="11" t="s">
        <v>611</v>
      </c>
      <c r="H103" s="11" t="s">
        <v>617</v>
      </c>
      <c r="I103" s="11" t="s">
        <v>612</v>
      </c>
      <c r="J103" s="11" t="s">
        <v>619</v>
      </c>
      <c r="K103" s="11"/>
      <c r="L103" s="11" t="s">
        <v>620</v>
      </c>
      <c r="M103" s="11" t="s">
        <v>615</v>
      </c>
      <c r="N103" s="13" t="s">
        <v>76</v>
      </c>
      <c r="O103" s="13" t="s">
        <v>77</v>
      </c>
      <c r="P103" s="14"/>
      <c r="Q103" s="13"/>
      <c r="R103" s="14"/>
      <c r="S103" s="14"/>
      <c r="T103" s="14"/>
    </row>
    <row r="104" spans="1:20" ht="118.8" x14ac:dyDescent="0.3">
      <c r="A104" s="9" t="s">
        <v>621</v>
      </c>
      <c r="B104" s="17" t="s">
        <v>607</v>
      </c>
      <c r="C104" s="11" t="s">
        <v>622</v>
      </c>
      <c r="D104" s="12" t="s">
        <v>623</v>
      </c>
      <c r="E104" s="11" t="s">
        <v>624</v>
      </c>
      <c r="F104" s="12" t="s">
        <v>227</v>
      </c>
      <c r="G104" s="11" t="s">
        <v>611</v>
      </c>
      <c r="H104" s="11" t="s">
        <v>622</v>
      </c>
      <c r="I104" s="11" t="s">
        <v>612</v>
      </c>
      <c r="J104" s="11" t="s">
        <v>625</v>
      </c>
      <c r="K104" s="11"/>
      <c r="L104" s="11" t="s">
        <v>626</v>
      </c>
      <c r="M104" s="11" t="s">
        <v>615</v>
      </c>
      <c r="N104" s="13" t="s">
        <v>76</v>
      </c>
      <c r="O104" s="13" t="s">
        <v>77</v>
      </c>
      <c r="P104" s="14"/>
      <c r="Q104" s="13"/>
      <c r="R104" s="14"/>
      <c r="S104" s="14"/>
      <c r="T104" s="14"/>
    </row>
    <row r="105" spans="1:20" ht="105.6" x14ac:dyDescent="0.3">
      <c r="A105" s="9" t="s">
        <v>627</v>
      </c>
      <c r="B105" s="17" t="s">
        <v>607</v>
      </c>
      <c r="C105" s="11" t="s">
        <v>628</v>
      </c>
      <c r="D105" s="12" t="s">
        <v>629</v>
      </c>
      <c r="E105" s="11" t="s">
        <v>630</v>
      </c>
      <c r="F105" s="12" t="s">
        <v>227</v>
      </c>
      <c r="G105" s="11" t="s">
        <v>611</v>
      </c>
      <c r="H105" s="11" t="s">
        <v>628</v>
      </c>
      <c r="I105" s="11" t="s">
        <v>612</v>
      </c>
      <c r="J105" s="11" t="s">
        <v>619</v>
      </c>
      <c r="K105" s="11"/>
      <c r="L105" s="11" t="s">
        <v>631</v>
      </c>
      <c r="M105" s="11" t="s">
        <v>615</v>
      </c>
      <c r="N105" s="13" t="s">
        <v>76</v>
      </c>
      <c r="O105" s="13" t="s">
        <v>77</v>
      </c>
      <c r="P105" s="14"/>
      <c r="Q105" s="13"/>
      <c r="R105" s="14"/>
      <c r="S105" s="14"/>
      <c r="T105" s="14"/>
    </row>
    <row r="106" spans="1:20" ht="79.2" x14ac:dyDescent="0.3">
      <c r="A106" s="9" t="s">
        <v>632</v>
      </c>
      <c r="B106" s="17" t="s">
        <v>607</v>
      </c>
      <c r="C106" s="11" t="s">
        <v>633</v>
      </c>
      <c r="D106" s="12" t="s">
        <v>634</v>
      </c>
      <c r="E106" s="11" t="s">
        <v>635</v>
      </c>
      <c r="F106" s="12" t="s">
        <v>227</v>
      </c>
      <c r="G106" s="11" t="s">
        <v>611</v>
      </c>
      <c r="H106" s="11" t="s">
        <v>633</v>
      </c>
      <c r="I106" s="11" t="s">
        <v>612</v>
      </c>
      <c r="J106" s="11" t="s">
        <v>625</v>
      </c>
      <c r="K106" s="11"/>
      <c r="L106" s="11" t="s">
        <v>636</v>
      </c>
      <c r="M106" s="11" t="s">
        <v>615</v>
      </c>
      <c r="N106" s="13" t="s">
        <v>76</v>
      </c>
      <c r="O106" s="13" t="s">
        <v>77</v>
      </c>
      <c r="P106" s="14"/>
      <c r="Q106" s="13"/>
      <c r="R106" s="14"/>
      <c r="S106" s="14"/>
      <c r="T106" s="14"/>
    </row>
  </sheetData>
  <autoFilter ref="A1:T106" xr:uid="{00000000-0009-0000-0000-000001000000}"/>
  <conditionalFormatting sqref="O2:O106">
    <cfRule type="cellIs" dxfId="14" priority="2" operator="equal">
      <formula>"Pass"</formula>
    </cfRule>
    <cfRule type="cellIs" dxfId="13" priority="3" operator="equal">
      <formula>"Fail"</formula>
    </cfRule>
    <cfRule type="cellIs" dxfId="12" priority="4" operator="equal">
      <formula>"Blocked"</formula>
    </cfRule>
    <cfRule type="cellIs" dxfId="11" priority="5" operator="equal">
      <formula>"Skipped"</formula>
    </cfRule>
  </conditionalFormatting>
  <dataValidations count="2">
    <dataValidation type="list" sqref="N2:N106" xr:uid="{00000000-0002-0000-0100-000000000000}">
      <formula1>"Planned,In Progress,Automated,Manual"</formula1>
      <formula2>0</formula2>
    </dataValidation>
    <dataValidation type="list" sqref="O2:O106" xr:uid="{00000000-0002-0000-0100-000001000000}">
      <formula1>"Not Run,Pass,Fail,Blocked,Skipped"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0"/>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17" customWidth="1"/>
    <col min="2" max="2" width="34" customWidth="1"/>
    <col min="3" max="3" width="6" customWidth="1"/>
    <col min="4" max="4" width="8" customWidth="1"/>
    <col min="5" max="6" width="60" customWidth="1"/>
    <col min="7" max="7" width="26" customWidth="1"/>
    <col min="8" max="8" width="12" customWidth="1"/>
    <col min="9" max="9" width="28" customWidth="1"/>
  </cols>
  <sheetData>
    <row r="1" spans="1:9" ht="27.75" customHeight="1" x14ac:dyDescent="0.3">
      <c r="A1" s="7" t="s">
        <v>637</v>
      </c>
      <c r="B1" s="7" t="s">
        <v>638</v>
      </c>
      <c r="C1" s="7" t="s">
        <v>639</v>
      </c>
      <c r="D1" s="7" t="s">
        <v>49</v>
      </c>
      <c r="E1" s="7" t="s">
        <v>640</v>
      </c>
      <c r="F1" s="7" t="s">
        <v>59</v>
      </c>
      <c r="G1" s="7" t="s">
        <v>52</v>
      </c>
      <c r="H1" s="8" t="s">
        <v>641</v>
      </c>
      <c r="I1" s="8" t="s">
        <v>642</v>
      </c>
    </row>
    <row r="2" spans="1:9" ht="26.4" x14ac:dyDescent="0.3">
      <c r="A2" s="9" t="s">
        <v>606</v>
      </c>
      <c r="B2" s="11" t="s">
        <v>608</v>
      </c>
      <c r="C2" s="12">
        <v>1</v>
      </c>
      <c r="D2" s="10" t="s">
        <v>643</v>
      </c>
      <c r="E2" s="11" t="s">
        <v>644</v>
      </c>
      <c r="F2" s="11" t="s">
        <v>645</v>
      </c>
      <c r="G2" s="11" t="s">
        <v>67</v>
      </c>
      <c r="H2" s="13" t="s">
        <v>77</v>
      </c>
      <c r="I2" s="14"/>
    </row>
    <row r="3" spans="1:9" ht="26.4" x14ac:dyDescent="0.3">
      <c r="A3" s="9" t="s">
        <v>606</v>
      </c>
      <c r="B3" s="11" t="s">
        <v>608</v>
      </c>
      <c r="C3" s="12">
        <v>2</v>
      </c>
      <c r="D3" s="10" t="s">
        <v>643</v>
      </c>
      <c r="E3" s="11" t="s">
        <v>646</v>
      </c>
      <c r="F3" s="11" t="s">
        <v>647</v>
      </c>
      <c r="G3" s="11" t="s">
        <v>648</v>
      </c>
      <c r="H3" s="13" t="s">
        <v>77</v>
      </c>
      <c r="I3" s="14"/>
    </row>
    <row r="4" spans="1:9" ht="26.4" x14ac:dyDescent="0.3">
      <c r="A4" s="9" t="s">
        <v>606</v>
      </c>
      <c r="B4" s="11" t="s">
        <v>608</v>
      </c>
      <c r="C4" s="12">
        <v>3</v>
      </c>
      <c r="D4" s="10" t="s">
        <v>643</v>
      </c>
      <c r="E4" s="11" t="s">
        <v>649</v>
      </c>
      <c r="F4" s="11" t="s">
        <v>650</v>
      </c>
      <c r="G4" s="11" t="s">
        <v>114</v>
      </c>
      <c r="H4" s="13" t="s">
        <v>77</v>
      </c>
      <c r="I4" s="14"/>
    </row>
    <row r="5" spans="1:9" ht="26.4" x14ac:dyDescent="0.3">
      <c r="A5" s="9" t="s">
        <v>606</v>
      </c>
      <c r="B5" s="11" t="s">
        <v>608</v>
      </c>
      <c r="C5" s="12">
        <v>4</v>
      </c>
      <c r="D5" s="15" t="s">
        <v>651</v>
      </c>
      <c r="E5" s="11" t="s">
        <v>652</v>
      </c>
      <c r="F5" s="11" t="s">
        <v>653</v>
      </c>
      <c r="G5" s="11" t="s">
        <v>654</v>
      </c>
      <c r="H5" s="13" t="s">
        <v>77</v>
      </c>
      <c r="I5" s="14"/>
    </row>
    <row r="6" spans="1:9" ht="26.4" x14ac:dyDescent="0.3">
      <c r="A6" s="9" t="s">
        <v>606</v>
      </c>
      <c r="B6" s="11" t="s">
        <v>608</v>
      </c>
      <c r="C6" s="12">
        <v>5</v>
      </c>
      <c r="D6" s="10" t="s">
        <v>643</v>
      </c>
      <c r="E6" s="11" t="s">
        <v>655</v>
      </c>
      <c r="F6" s="11" t="s">
        <v>656</v>
      </c>
      <c r="G6" s="11" t="s">
        <v>157</v>
      </c>
      <c r="H6" s="13" t="s">
        <v>77</v>
      </c>
      <c r="I6" s="14"/>
    </row>
    <row r="7" spans="1:9" ht="26.4" x14ac:dyDescent="0.3">
      <c r="A7" s="9" t="s">
        <v>606</v>
      </c>
      <c r="B7" s="11" t="s">
        <v>608</v>
      </c>
      <c r="C7" s="12">
        <v>6</v>
      </c>
      <c r="D7" s="15" t="s">
        <v>651</v>
      </c>
      <c r="E7" s="11" t="s">
        <v>657</v>
      </c>
      <c r="F7" s="11" t="s">
        <v>658</v>
      </c>
      <c r="G7" s="11" t="s">
        <v>659</v>
      </c>
      <c r="H7" s="13" t="s">
        <v>77</v>
      </c>
      <c r="I7" s="14"/>
    </row>
    <row r="8" spans="1:9" ht="26.4" x14ac:dyDescent="0.3">
      <c r="A8" s="9" t="s">
        <v>606</v>
      </c>
      <c r="B8" s="11" t="s">
        <v>608</v>
      </c>
      <c r="C8" s="12">
        <v>7</v>
      </c>
      <c r="D8" s="16" t="s">
        <v>660</v>
      </c>
      <c r="E8" s="11" t="s">
        <v>661</v>
      </c>
      <c r="F8" s="11" t="s">
        <v>662</v>
      </c>
      <c r="G8" s="11" t="s">
        <v>567</v>
      </c>
      <c r="H8" s="13" t="s">
        <v>77</v>
      </c>
      <c r="I8" s="14"/>
    </row>
    <row r="9" spans="1:9" ht="26.4" x14ac:dyDescent="0.3">
      <c r="A9" s="9" t="s">
        <v>606</v>
      </c>
      <c r="B9" s="11" t="s">
        <v>608</v>
      </c>
      <c r="C9" s="12">
        <v>8</v>
      </c>
      <c r="D9" s="15" t="s">
        <v>651</v>
      </c>
      <c r="E9" s="11" t="s">
        <v>663</v>
      </c>
      <c r="F9" s="11" t="s">
        <v>664</v>
      </c>
      <c r="G9" s="11" t="s">
        <v>665</v>
      </c>
      <c r="H9" s="13" t="s">
        <v>77</v>
      </c>
      <c r="I9" s="14"/>
    </row>
    <row r="10" spans="1:9" ht="26.4" x14ac:dyDescent="0.3">
      <c r="A10" s="9" t="s">
        <v>606</v>
      </c>
      <c r="B10" s="11" t="s">
        <v>608</v>
      </c>
      <c r="C10" s="12">
        <v>9</v>
      </c>
      <c r="D10" s="16" t="s">
        <v>660</v>
      </c>
      <c r="E10" s="11" t="s">
        <v>666</v>
      </c>
      <c r="F10" s="11" t="s">
        <v>667</v>
      </c>
      <c r="G10" s="11" t="s">
        <v>668</v>
      </c>
      <c r="H10" s="13" t="s">
        <v>77</v>
      </c>
      <c r="I10" s="14"/>
    </row>
    <row r="11" spans="1:9" ht="26.4" x14ac:dyDescent="0.3">
      <c r="A11" s="9" t="s">
        <v>606</v>
      </c>
      <c r="B11" s="11" t="s">
        <v>608</v>
      </c>
      <c r="C11" s="12">
        <v>10</v>
      </c>
      <c r="D11" s="15" t="s">
        <v>651</v>
      </c>
      <c r="E11" s="11" t="s">
        <v>669</v>
      </c>
      <c r="F11" s="11" t="s">
        <v>670</v>
      </c>
      <c r="G11" s="11" t="s">
        <v>671</v>
      </c>
      <c r="H11" s="13" t="s">
        <v>77</v>
      </c>
      <c r="I11" s="14"/>
    </row>
    <row r="12" spans="1:9" ht="26.4" x14ac:dyDescent="0.3">
      <c r="A12" s="9" t="s">
        <v>606</v>
      </c>
      <c r="B12" s="11" t="s">
        <v>608</v>
      </c>
      <c r="C12" s="12">
        <v>11</v>
      </c>
      <c r="D12" s="16" t="s">
        <v>660</v>
      </c>
      <c r="E12" s="11" t="s">
        <v>672</v>
      </c>
      <c r="F12" s="11" t="s">
        <v>673</v>
      </c>
      <c r="G12" s="11" t="s">
        <v>674</v>
      </c>
      <c r="H12" s="13" t="s">
        <v>77</v>
      </c>
      <c r="I12" s="14"/>
    </row>
    <row r="13" spans="1:9" ht="26.4" x14ac:dyDescent="0.3">
      <c r="A13" s="9" t="s">
        <v>606</v>
      </c>
      <c r="B13" s="11" t="s">
        <v>608</v>
      </c>
      <c r="C13" s="12">
        <v>12</v>
      </c>
      <c r="D13" s="10" t="s">
        <v>643</v>
      </c>
      <c r="E13" s="11" t="s">
        <v>675</v>
      </c>
      <c r="F13" s="11" t="s">
        <v>676</v>
      </c>
      <c r="G13" s="11" t="s">
        <v>677</v>
      </c>
      <c r="H13" s="13" t="s">
        <v>77</v>
      </c>
      <c r="I13" s="14"/>
    </row>
    <row r="14" spans="1:9" ht="26.4" x14ac:dyDescent="0.3">
      <c r="A14" s="9" t="s">
        <v>606</v>
      </c>
      <c r="B14" s="11" t="s">
        <v>608</v>
      </c>
      <c r="C14" s="12">
        <v>13</v>
      </c>
      <c r="D14" s="16" t="s">
        <v>660</v>
      </c>
      <c r="E14" s="11" t="s">
        <v>678</v>
      </c>
      <c r="F14" s="11" t="s">
        <v>679</v>
      </c>
      <c r="G14" s="11" t="s">
        <v>680</v>
      </c>
      <c r="H14" s="13" t="s">
        <v>77</v>
      </c>
      <c r="I14" s="14"/>
    </row>
    <row r="15" spans="1:9" x14ac:dyDescent="0.3">
      <c r="A15" s="9" t="s">
        <v>616</v>
      </c>
      <c r="B15" s="11" t="s">
        <v>617</v>
      </c>
      <c r="C15" s="12">
        <v>1</v>
      </c>
      <c r="D15" s="10" t="s">
        <v>643</v>
      </c>
      <c r="E15" s="11" t="s">
        <v>681</v>
      </c>
      <c r="F15" s="11" t="s">
        <v>682</v>
      </c>
      <c r="G15" s="11" t="s">
        <v>683</v>
      </c>
      <c r="H15" s="13" t="s">
        <v>77</v>
      </c>
      <c r="I15" s="14"/>
    </row>
    <row r="16" spans="1:9" x14ac:dyDescent="0.3">
      <c r="A16" s="9" t="s">
        <v>616</v>
      </c>
      <c r="B16" s="11" t="s">
        <v>617</v>
      </c>
      <c r="C16" s="12">
        <v>2</v>
      </c>
      <c r="D16" s="10" t="s">
        <v>643</v>
      </c>
      <c r="E16" s="11" t="s">
        <v>684</v>
      </c>
      <c r="F16" s="11" t="s">
        <v>685</v>
      </c>
      <c r="G16" s="11" t="s">
        <v>180</v>
      </c>
      <c r="H16" s="13" t="s">
        <v>77</v>
      </c>
      <c r="I16" s="14"/>
    </row>
    <row r="17" spans="1:9" x14ac:dyDescent="0.3">
      <c r="A17" s="9" t="s">
        <v>616</v>
      </c>
      <c r="B17" s="11" t="s">
        <v>617</v>
      </c>
      <c r="C17" s="12">
        <v>3</v>
      </c>
      <c r="D17" s="15" t="s">
        <v>651</v>
      </c>
      <c r="E17" s="11" t="s">
        <v>686</v>
      </c>
      <c r="F17" s="11" t="s">
        <v>687</v>
      </c>
      <c r="G17" s="11" t="s">
        <v>688</v>
      </c>
      <c r="H17" s="13" t="s">
        <v>77</v>
      </c>
      <c r="I17" s="14"/>
    </row>
    <row r="18" spans="1:9" ht="26.4" x14ac:dyDescent="0.3">
      <c r="A18" s="9" t="s">
        <v>616</v>
      </c>
      <c r="B18" s="11" t="s">
        <v>617</v>
      </c>
      <c r="C18" s="12">
        <v>4</v>
      </c>
      <c r="D18" s="16" t="s">
        <v>660</v>
      </c>
      <c r="E18" s="11" t="s">
        <v>689</v>
      </c>
      <c r="F18" s="11" t="s">
        <v>690</v>
      </c>
      <c r="G18" s="11" t="s">
        <v>691</v>
      </c>
      <c r="H18" s="13" t="s">
        <v>77</v>
      </c>
      <c r="I18" s="14"/>
    </row>
    <row r="19" spans="1:9" x14ac:dyDescent="0.3">
      <c r="A19" s="9" t="s">
        <v>616</v>
      </c>
      <c r="B19" s="11" t="s">
        <v>617</v>
      </c>
      <c r="C19" s="12">
        <v>5</v>
      </c>
      <c r="D19" s="10" t="s">
        <v>643</v>
      </c>
      <c r="E19" s="11" t="s">
        <v>692</v>
      </c>
      <c r="F19" s="11" t="s">
        <v>693</v>
      </c>
      <c r="G19" s="11" t="s">
        <v>165</v>
      </c>
      <c r="H19" s="13" t="s">
        <v>77</v>
      </c>
      <c r="I19" s="14"/>
    </row>
    <row r="20" spans="1:9" x14ac:dyDescent="0.3">
      <c r="A20" s="9" t="s">
        <v>616</v>
      </c>
      <c r="B20" s="11" t="s">
        <v>617</v>
      </c>
      <c r="C20" s="12">
        <v>6</v>
      </c>
      <c r="D20" s="10" t="s">
        <v>643</v>
      </c>
      <c r="E20" s="11" t="s">
        <v>694</v>
      </c>
      <c r="F20" s="11" t="s">
        <v>695</v>
      </c>
      <c r="G20" s="11" t="s">
        <v>157</v>
      </c>
      <c r="H20" s="13" t="s">
        <v>77</v>
      </c>
      <c r="I20" s="14"/>
    </row>
    <row r="21" spans="1:9" x14ac:dyDescent="0.3">
      <c r="A21" s="9" t="s">
        <v>616</v>
      </c>
      <c r="B21" s="11" t="s">
        <v>617</v>
      </c>
      <c r="C21" s="12">
        <v>7</v>
      </c>
      <c r="D21" s="15" t="s">
        <v>651</v>
      </c>
      <c r="E21" s="11" t="s">
        <v>696</v>
      </c>
      <c r="F21" s="11" t="s">
        <v>697</v>
      </c>
      <c r="G21" s="11" t="s">
        <v>186</v>
      </c>
      <c r="H21" s="13" t="s">
        <v>77</v>
      </c>
      <c r="I21" s="14"/>
    </row>
    <row r="22" spans="1:9" ht="26.4" x14ac:dyDescent="0.3">
      <c r="A22" s="9" t="s">
        <v>616</v>
      </c>
      <c r="B22" s="11" t="s">
        <v>617</v>
      </c>
      <c r="C22" s="12">
        <v>8</v>
      </c>
      <c r="D22" s="16" t="s">
        <v>660</v>
      </c>
      <c r="E22" s="11" t="s">
        <v>698</v>
      </c>
      <c r="F22" s="11" t="s">
        <v>699</v>
      </c>
      <c r="G22" s="11" t="s">
        <v>700</v>
      </c>
      <c r="H22" s="13" t="s">
        <v>77</v>
      </c>
      <c r="I22" s="14"/>
    </row>
    <row r="23" spans="1:9" x14ac:dyDescent="0.3">
      <c r="A23" s="9" t="s">
        <v>616</v>
      </c>
      <c r="B23" s="11" t="s">
        <v>617</v>
      </c>
      <c r="C23" s="12">
        <v>9</v>
      </c>
      <c r="D23" s="10" t="s">
        <v>643</v>
      </c>
      <c r="E23" s="11" t="s">
        <v>701</v>
      </c>
      <c r="F23" s="11" t="s">
        <v>702</v>
      </c>
      <c r="G23" s="11" t="s">
        <v>186</v>
      </c>
      <c r="H23" s="13" t="s">
        <v>77</v>
      </c>
      <c r="I23" s="14"/>
    </row>
    <row r="24" spans="1:9" x14ac:dyDescent="0.3">
      <c r="A24" s="9" t="s">
        <v>616</v>
      </c>
      <c r="B24" s="11" t="s">
        <v>617</v>
      </c>
      <c r="C24" s="12">
        <v>10</v>
      </c>
      <c r="D24" s="16" t="s">
        <v>660</v>
      </c>
      <c r="E24" s="11" t="s">
        <v>703</v>
      </c>
      <c r="F24" s="11" t="s">
        <v>704</v>
      </c>
      <c r="G24" s="11" t="s">
        <v>602</v>
      </c>
      <c r="H24" s="13" t="s">
        <v>77</v>
      </c>
      <c r="I24" s="14"/>
    </row>
    <row r="25" spans="1:9" x14ac:dyDescent="0.3">
      <c r="A25" s="9" t="s">
        <v>616</v>
      </c>
      <c r="B25" s="11" t="s">
        <v>617</v>
      </c>
      <c r="C25" s="12">
        <v>11</v>
      </c>
      <c r="D25" s="15" t="s">
        <v>651</v>
      </c>
      <c r="E25" s="11" t="s">
        <v>663</v>
      </c>
      <c r="F25" s="11" t="s">
        <v>705</v>
      </c>
      <c r="G25" s="11" t="s">
        <v>209</v>
      </c>
      <c r="H25" s="13" t="s">
        <v>77</v>
      </c>
      <c r="I25" s="14"/>
    </row>
    <row r="26" spans="1:9" x14ac:dyDescent="0.3">
      <c r="A26" s="9" t="s">
        <v>621</v>
      </c>
      <c r="B26" s="11" t="s">
        <v>622</v>
      </c>
      <c r="C26" s="12">
        <v>1</v>
      </c>
      <c r="D26" s="10" t="s">
        <v>643</v>
      </c>
      <c r="E26" s="11" t="s">
        <v>706</v>
      </c>
      <c r="F26" s="11" t="s">
        <v>707</v>
      </c>
      <c r="G26" s="11" t="s">
        <v>708</v>
      </c>
      <c r="H26" s="13" t="s">
        <v>77</v>
      </c>
      <c r="I26" s="14"/>
    </row>
    <row r="27" spans="1:9" x14ac:dyDescent="0.3">
      <c r="A27" s="9" t="s">
        <v>621</v>
      </c>
      <c r="B27" s="11" t="s">
        <v>622</v>
      </c>
      <c r="C27" s="12">
        <v>2</v>
      </c>
      <c r="D27" s="15" t="s">
        <v>651</v>
      </c>
      <c r="E27" s="11" t="s">
        <v>709</v>
      </c>
      <c r="F27" s="11" t="s">
        <v>710</v>
      </c>
      <c r="G27" s="11" t="s">
        <v>654</v>
      </c>
      <c r="H27" s="13" t="s">
        <v>77</v>
      </c>
      <c r="I27" s="14"/>
    </row>
    <row r="28" spans="1:9" x14ac:dyDescent="0.3">
      <c r="A28" s="9" t="s">
        <v>621</v>
      </c>
      <c r="B28" s="11" t="s">
        <v>622</v>
      </c>
      <c r="C28" s="12">
        <v>3</v>
      </c>
      <c r="D28" s="10" t="s">
        <v>643</v>
      </c>
      <c r="E28" s="11" t="s">
        <v>711</v>
      </c>
      <c r="F28" s="11" t="s">
        <v>712</v>
      </c>
      <c r="G28" s="11" t="s">
        <v>100</v>
      </c>
      <c r="H28" s="13" t="s">
        <v>77</v>
      </c>
      <c r="I28" s="14"/>
    </row>
    <row r="29" spans="1:9" x14ac:dyDescent="0.3">
      <c r="A29" s="9" t="s">
        <v>621</v>
      </c>
      <c r="B29" s="11" t="s">
        <v>622</v>
      </c>
      <c r="C29" s="12">
        <v>4</v>
      </c>
      <c r="D29" s="10" t="s">
        <v>643</v>
      </c>
      <c r="E29" s="11" t="s">
        <v>713</v>
      </c>
      <c r="F29" s="11" t="s">
        <v>714</v>
      </c>
      <c r="G29" s="11" t="s">
        <v>131</v>
      </c>
      <c r="H29" s="13" t="s">
        <v>77</v>
      </c>
      <c r="I29" s="14"/>
    </row>
    <row r="30" spans="1:9" x14ac:dyDescent="0.3">
      <c r="A30" s="9" t="s">
        <v>621</v>
      </c>
      <c r="B30" s="11" t="s">
        <v>622</v>
      </c>
      <c r="C30" s="12">
        <v>5</v>
      </c>
      <c r="D30" s="15" t="s">
        <v>651</v>
      </c>
      <c r="E30" s="11" t="s">
        <v>715</v>
      </c>
      <c r="F30" s="11" t="s">
        <v>716</v>
      </c>
      <c r="G30" s="11" t="s">
        <v>654</v>
      </c>
      <c r="H30" s="13" t="s">
        <v>77</v>
      </c>
      <c r="I30" s="14"/>
    </row>
    <row r="31" spans="1:9" x14ac:dyDescent="0.3">
      <c r="A31" s="9" t="s">
        <v>621</v>
      </c>
      <c r="B31" s="11" t="s">
        <v>622</v>
      </c>
      <c r="C31" s="12">
        <v>6</v>
      </c>
      <c r="D31" s="10" t="s">
        <v>643</v>
      </c>
      <c r="E31" s="11" t="s">
        <v>717</v>
      </c>
      <c r="F31" s="11" t="s">
        <v>718</v>
      </c>
      <c r="G31" s="11" t="s">
        <v>157</v>
      </c>
      <c r="H31" s="13" t="s">
        <v>77</v>
      </c>
      <c r="I31" s="14"/>
    </row>
    <row r="32" spans="1:9" x14ac:dyDescent="0.3">
      <c r="A32" s="9" t="s">
        <v>621</v>
      </c>
      <c r="B32" s="11" t="s">
        <v>622</v>
      </c>
      <c r="C32" s="12">
        <v>7</v>
      </c>
      <c r="D32" s="16" t="s">
        <v>660</v>
      </c>
      <c r="E32" s="11" t="s">
        <v>719</v>
      </c>
      <c r="F32" s="11" t="s">
        <v>720</v>
      </c>
      <c r="G32" s="11" t="s">
        <v>721</v>
      </c>
      <c r="H32" s="13" t="s">
        <v>77</v>
      </c>
      <c r="I32" s="14"/>
    </row>
    <row r="33" spans="1:9" x14ac:dyDescent="0.3">
      <c r="A33" s="9" t="s">
        <v>621</v>
      </c>
      <c r="B33" s="11" t="s">
        <v>622</v>
      </c>
      <c r="C33" s="12">
        <v>8</v>
      </c>
      <c r="D33" s="10" t="s">
        <v>643</v>
      </c>
      <c r="E33" s="11" t="s">
        <v>722</v>
      </c>
      <c r="F33" s="11" t="s">
        <v>723</v>
      </c>
      <c r="G33" s="11" t="s">
        <v>140</v>
      </c>
      <c r="H33" s="13" t="s">
        <v>77</v>
      </c>
      <c r="I33" s="14"/>
    </row>
    <row r="34" spans="1:9" x14ac:dyDescent="0.3">
      <c r="A34" s="9" t="s">
        <v>621</v>
      </c>
      <c r="B34" s="11" t="s">
        <v>622</v>
      </c>
      <c r="C34" s="12">
        <v>9</v>
      </c>
      <c r="D34" s="15" t="s">
        <v>651</v>
      </c>
      <c r="E34" s="11" t="s">
        <v>724</v>
      </c>
      <c r="F34" s="11" t="s">
        <v>725</v>
      </c>
      <c r="G34" s="11" t="s">
        <v>140</v>
      </c>
      <c r="H34" s="13" t="s">
        <v>77</v>
      </c>
      <c r="I34" s="14"/>
    </row>
    <row r="35" spans="1:9" x14ac:dyDescent="0.3">
      <c r="A35" s="9" t="s">
        <v>621</v>
      </c>
      <c r="B35" s="11" t="s">
        <v>622</v>
      </c>
      <c r="C35" s="12">
        <v>10</v>
      </c>
      <c r="D35" s="15" t="s">
        <v>651</v>
      </c>
      <c r="E35" s="11" t="s">
        <v>726</v>
      </c>
      <c r="F35" s="11" t="s">
        <v>727</v>
      </c>
      <c r="G35" s="11" t="s">
        <v>665</v>
      </c>
      <c r="H35" s="13" t="s">
        <v>77</v>
      </c>
      <c r="I35" s="14"/>
    </row>
    <row r="36" spans="1:9" x14ac:dyDescent="0.3">
      <c r="A36" s="9" t="s">
        <v>621</v>
      </c>
      <c r="B36" s="11" t="s">
        <v>622</v>
      </c>
      <c r="C36" s="12">
        <v>11</v>
      </c>
      <c r="D36" s="16" t="s">
        <v>660</v>
      </c>
      <c r="E36" s="11" t="s">
        <v>728</v>
      </c>
      <c r="F36" s="11" t="s">
        <v>729</v>
      </c>
      <c r="G36" s="11" t="s">
        <v>721</v>
      </c>
      <c r="H36" s="13" t="s">
        <v>77</v>
      </c>
      <c r="I36" s="14"/>
    </row>
    <row r="37" spans="1:9" x14ac:dyDescent="0.3">
      <c r="A37" s="9" t="s">
        <v>621</v>
      </c>
      <c r="B37" s="11" t="s">
        <v>622</v>
      </c>
      <c r="C37" s="12">
        <v>12</v>
      </c>
      <c r="D37" s="10" t="s">
        <v>643</v>
      </c>
      <c r="E37" s="11" t="s">
        <v>730</v>
      </c>
      <c r="F37" s="11" t="s">
        <v>731</v>
      </c>
      <c r="G37" s="11" t="s">
        <v>677</v>
      </c>
      <c r="H37" s="13" t="s">
        <v>77</v>
      </c>
      <c r="I37" s="14"/>
    </row>
    <row r="38" spans="1:9" x14ac:dyDescent="0.3">
      <c r="A38" s="9" t="s">
        <v>627</v>
      </c>
      <c r="B38" s="11" t="s">
        <v>628</v>
      </c>
      <c r="C38" s="12">
        <v>1</v>
      </c>
      <c r="D38" s="10" t="s">
        <v>643</v>
      </c>
      <c r="E38" s="11" t="s">
        <v>732</v>
      </c>
      <c r="F38" s="11" t="s">
        <v>733</v>
      </c>
      <c r="G38" s="11" t="s">
        <v>734</v>
      </c>
      <c r="H38" s="13" t="s">
        <v>77</v>
      </c>
      <c r="I38" s="14"/>
    </row>
    <row r="39" spans="1:9" x14ac:dyDescent="0.3">
      <c r="A39" s="9" t="s">
        <v>627</v>
      </c>
      <c r="B39" s="11" t="s">
        <v>628</v>
      </c>
      <c r="C39" s="12">
        <v>2</v>
      </c>
      <c r="D39" s="10" t="s">
        <v>643</v>
      </c>
      <c r="E39" s="11" t="s">
        <v>735</v>
      </c>
      <c r="F39" s="11" t="s">
        <v>736</v>
      </c>
      <c r="G39" s="11" t="s">
        <v>251</v>
      </c>
      <c r="H39" s="13" t="s">
        <v>77</v>
      </c>
      <c r="I39" s="14"/>
    </row>
    <row r="40" spans="1:9" x14ac:dyDescent="0.3">
      <c r="A40" s="9" t="s">
        <v>627</v>
      </c>
      <c r="B40" s="11" t="s">
        <v>628</v>
      </c>
      <c r="C40" s="12">
        <v>3</v>
      </c>
      <c r="D40" s="15" t="s">
        <v>651</v>
      </c>
      <c r="E40" s="11" t="s">
        <v>737</v>
      </c>
      <c r="F40" s="11" t="s">
        <v>738</v>
      </c>
      <c r="G40" s="11" t="s">
        <v>739</v>
      </c>
      <c r="H40" s="13" t="s">
        <v>77</v>
      </c>
      <c r="I40" s="14"/>
    </row>
    <row r="41" spans="1:9" x14ac:dyDescent="0.3">
      <c r="A41" s="9" t="s">
        <v>627</v>
      </c>
      <c r="B41" s="11" t="s">
        <v>628</v>
      </c>
      <c r="C41" s="12">
        <v>4</v>
      </c>
      <c r="D41" s="10" t="s">
        <v>643</v>
      </c>
      <c r="E41" s="11" t="s">
        <v>740</v>
      </c>
      <c r="F41" s="11" t="s">
        <v>741</v>
      </c>
      <c r="G41" s="11" t="s">
        <v>742</v>
      </c>
      <c r="H41" s="13" t="s">
        <v>77</v>
      </c>
      <c r="I41" s="14"/>
    </row>
    <row r="42" spans="1:9" x14ac:dyDescent="0.3">
      <c r="A42" s="9" t="s">
        <v>627</v>
      </c>
      <c r="B42" s="11" t="s">
        <v>628</v>
      </c>
      <c r="C42" s="12">
        <v>5</v>
      </c>
      <c r="D42" s="15" t="s">
        <v>651</v>
      </c>
      <c r="E42" s="11" t="s">
        <v>743</v>
      </c>
      <c r="F42" s="11" t="s">
        <v>744</v>
      </c>
      <c r="G42" s="11" t="s">
        <v>579</v>
      </c>
      <c r="H42" s="13" t="s">
        <v>77</v>
      </c>
      <c r="I42" s="14"/>
    </row>
    <row r="43" spans="1:9" x14ac:dyDescent="0.3">
      <c r="A43" s="9" t="s">
        <v>627</v>
      </c>
      <c r="B43" s="11" t="s">
        <v>628</v>
      </c>
      <c r="C43" s="12">
        <v>6</v>
      </c>
      <c r="D43" s="16" t="s">
        <v>660</v>
      </c>
      <c r="E43" s="11" t="s">
        <v>745</v>
      </c>
      <c r="F43" s="11" t="s">
        <v>746</v>
      </c>
      <c r="G43" s="11" t="s">
        <v>747</v>
      </c>
      <c r="H43" s="13" t="s">
        <v>77</v>
      </c>
      <c r="I43" s="14"/>
    </row>
    <row r="44" spans="1:9" x14ac:dyDescent="0.3">
      <c r="A44" s="9" t="s">
        <v>627</v>
      </c>
      <c r="B44" s="11" t="s">
        <v>628</v>
      </c>
      <c r="C44" s="12">
        <v>7</v>
      </c>
      <c r="D44" s="15" t="s">
        <v>651</v>
      </c>
      <c r="E44" s="11" t="s">
        <v>748</v>
      </c>
      <c r="F44" s="11" t="s">
        <v>749</v>
      </c>
      <c r="G44" s="11" t="s">
        <v>750</v>
      </c>
      <c r="H44" s="13" t="s">
        <v>77</v>
      </c>
      <c r="I44" s="14"/>
    </row>
    <row r="45" spans="1:9" ht="26.4" x14ac:dyDescent="0.3">
      <c r="A45" s="9" t="s">
        <v>627</v>
      </c>
      <c r="B45" s="11" t="s">
        <v>628</v>
      </c>
      <c r="C45" s="12">
        <v>8</v>
      </c>
      <c r="D45" s="16" t="s">
        <v>660</v>
      </c>
      <c r="E45" s="11" t="s">
        <v>751</v>
      </c>
      <c r="F45" s="11" t="s">
        <v>752</v>
      </c>
      <c r="G45" s="11" t="s">
        <v>753</v>
      </c>
      <c r="H45" s="13" t="s">
        <v>77</v>
      </c>
      <c r="I45" s="14"/>
    </row>
    <row r="46" spans="1:9" ht="26.4" x14ac:dyDescent="0.3">
      <c r="A46" s="9" t="s">
        <v>627</v>
      </c>
      <c r="B46" s="11" t="s">
        <v>628</v>
      </c>
      <c r="C46" s="12">
        <v>9</v>
      </c>
      <c r="D46" s="16" t="s">
        <v>660</v>
      </c>
      <c r="E46" s="11" t="s">
        <v>754</v>
      </c>
      <c r="F46" s="11" t="s">
        <v>755</v>
      </c>
      <c r="G46" s="11" t="s">
        <v>586</v>
      </c>
      <c r="H46" s="13" t="s">
        <v>77</v>
      </c>
      <c r="I46" s="14"/>
    </row>
    <row r="47" spans="1:9" x14ac:dyDescent="0.3">
      <c r="A47" s="9" t="s">
        <v>627</v>
      </c>
      <c r="B47" s="11" t="s">
        <v>628</v>
      </c>
      <c r="C47" s="12">
        <v>10</v>
      </c>
      <c r="D47" s="10" t="s">
        <v>643</v>
      </c>
      <c r="E47" s="11" t="s">
        <v>756</v>
      </c>
      <c r="F47" s="11" t="s">
        <v>757</v>
      </c>
      <c r="G47" s="11" t="s">
        <v>758</v>
      </c>
      <c r="H47" s="13" t="s">
        <v>77</v>
      </c>
      <c r="I47" s="14"/>
    </row>
    <row r="48" spans="1:9" x14ac:dyDescent="0.3">
      <c r="A48" s="9" t="s">
        <v>627</v>
      </c>
      <c r="B48" s="11" t="s">
        <v>628</v>
      </c>
      <c r="C48" s="12">
        <v>11</v>
      </c>
      <c r="D48" s="10" t="s">
        <v>643</v>
      </c>
      <c r="E48" s="11" t="s">
        <v>759</v>
      </c>
      <c r="F48" s="11" t="s">
        <v>760</v>
      </c>
      <c r="G48" s="11" t="s">
        <v>251</v>
      </c>
      <c r="H48" s="13" t="s">
        <v>77</v>
      </c>
      <c r="I48" s="14"/>
    </row>
    <row r="49" spans="1:9" x14ac:dyDescent="0.3">
      <c r="A49" s="9" t="s">
        <v>632</v>
      </c>
      <c r="B49" s="11" t="s">
        <v>633</v>
      </c>
      <c r="C49" s="12">
        <v>1</v>
      </c>
      <c r="D49" s="16" t="s">
        <v>660</v>
      </c>
      <c r="E49" s="11" t="s">
        <v>761</v>
      </c>
      <c r="F49" s="11" t="s">
        <v>762</v>
      </c>
      <c r="G49" s="11" t="s">
        <v>721</v>
      </c>
      <c r="H49" s="13" t="s">
        <v>77</v>
      </c>
      <c r="I49" s="14"/>
    </row>
    <row r="50" spans="1:9" x14ac:dyDescent="0.3">
      <c r="A50" s="9" t="s">
        <v>632</v>
      </c>
      <c r="B50" s="11" t="s">
        <v>633</v>
      </c>
      <c r="C50" s="12">
        <v>2</v>
      </c>
      <c r="D50" s="10" t="s">
        <v>643</v>
      </c>
      <c r="E50" s="11" t="s">
        <v>763</v>
      </c>
      <c r="F50" s="11" t="s">
        <v>764</v>
      </c>
      <c r="G50" s="11" t="s">
        <v>765</v>
      </c>
      <c r="H50" s="13" t="s">
        <v>77</v>
      </c>
      <c r="I50" s="14"/>
    </row>
    <row r="51" spans="1:9" x14ac:dyDescent="0.3">
      <c r="A51" s="9" t="s">
        <v>632</v>
      </c>
      <c r="B51" s="11" t="s">
        <v>633</v>
      </c>
      <c r="C51" s="12">
        <v>3</v>
      </c>
      <c r="D51" s="15" t="s">
        <v>651</v>
      </c>
      <c r="E51" s="11" t="s">
        <v>766</v>
      </c>
      <c r="F51" s="11" t="s">
        <v>767</v>
      </c>
      <c r="G51" s="11" t="s">
        <v>654</v>
      </c>
      <c r="H51" s="13" t="s">
        <v>77</v>
      </c>
      <c r="I51" s="14"/>
    </row>
    <row r="52" spans="1:9" x14ac:dyDescent="0.3">
      <c r="A52" s="9" t="s">
        <v>632</v>
      </c>
      <c r="B52" s="11" t="s">
        <v>633</v>
      </c>
      <c r="C52" s="12">
        <v>4</v>
      </c>
      <c r="D52" s="16" t="s">
        <v>660</v>
      </c>
      <c r="E52" s="11" t="s">
        <v>768</v>
      </c>
      <c r="F52" s="11" t="s">
        <v>769</v>
      </c>
      <c r="G52" s="11" t="s">
        <v>721</v>
      </c>
      <c r="H52" s="13" t="s">
        <v>77</v>
      </c>
      <c r="I52" s="14"/>
    </row>
    <row r="53" spans="1:9" x14ac:dyDescent="0.3">
      <c r="A53" s="9" t="s">
        <v>632</v>
      </c>
      <c r="B53" s="11" t="s">
        <v>633</v>
      </c>
      <c r="C53" s="12">
        <v>5</v>
      </c>
      <c r="D53" s="10" t="s">
        <v>643</v>
      </c>
      <c r="E53" s="11" t="s">
        <v>770</v>
      </c>
      <c r="F53" s="11" t="s">
        <v>771</v>
      </c>
      <c r="G53" s="11" t="s">
        <v>145</v>
      </c>
      <c r="H53" s="13" t="s">
        <v>77</v>
      </c>
      <c r="I53" s="14"/>
    </row>
    <row r="54" spans="1:9" x14ac:dyDescent="0.3">
      <c r="A54" s="9" t="s">
        <v>632</v>
      </c>
      <c r="B54" s="11" t="s">
        <v>633</v>
      </c>
      <c r="C54" s="12">
        <v>6</v>
      </c>
      <c r="D54" s="15" t="s">
        <v>651</v>
      </c>
      <c r="E54" s="11" t="s">
        <v>772</v>
      </c>
      <c r="F54" s="11" t="s">
        <v>773</v>
      </c>
      <c r="G54" s="11" t="s">
        <v>774</v>
      </c>
      <c r="H54" s="13" t="s">
        <v>77</v>
      </c>
      <c r="I54" s="14"/>
    </row>
    <row r="55" spans="1:9" x14ac:dyDescent="0.3">
      <c r="A55" s="9" t="s">
        <v>632</v>
      </c>
      <c r="B55" s="11" t="s">
        <v>633</v>
      </c>
      <c r="C55" s="12">
        <v>7</v>
      </c>
      <c r="D55" s="16" t="s">
        <v>660</v>
      </c>
      <c r="E55" s="11" t="s">
        <v>775</v>
      </c>
      <c r="F55" s="11" t="s">
        <v>776</v>
      </c>
      <c r="G55" s="11" t="s">
        <v>777</v>
      </c>
      <c r="H55" s="13" t="s">
        <v>77</v>
      </c>
      <c r="I55" s="14"/>
    </row>
    <row r="56" spans="1:9" x14ac:dyDescent="0.3">
      <c r="A56" s="9" t="s">
        <v>632</v>
      </c>
      <c r="B56" s="11" t="s">
        <v>633</v>
      </c>
      <c r="C56" s="12">
        <v>8</v>
      </c>
      <c r="D56" s="15" t="s">
        <v>651</v>
      </c>
      <c r="E56" s="11" t="s">
        <v>778</v>
      </c>
      <c r="F56" s="11" t="s">
        <v>779</v>
      </c>
      <c r="G56" s="11" t="s">
        <v>780</v>
      </c>
      <c r="H56" s="13" t="s">
        <v>77</v>
      </c>
      <c r="I56" s="14"/>
    </row>
    <row r="57" spans="1:9" x14ac:dyDescent="0.3">
      <c r="A57" s="9" t="s">
        <v>632</v>
      </c>
      <c r="B57" s="11" t="s">
        <v>633</v>
      </c>
      <c r="C57" s="12">
        <v>9</v>
      </c>
      <c r="D57" s="15" t="s">
        <v>651</v>
      </c>
      <c r="E57" s="11" t="s">
        <v>781</v>
      </c>
      <c r="F57" s="11" t="s">
        <v>782</v>
      </c>
      <c r="G57" s="11" t="s">
        <v>579</v>
      </c>
      <c r="H57" s="13" t="s">
        <v>77</v>
      </c>
      <c r="I57" s="14"/>
    </row>
    <row r="58" spans="1:9" x14ac:dyDescent="0.3">
      <c r="A58" s="9" t="s">
        <v>632</v>
      </c>
      <c r="B58" s="11" t="s">
        <v>633</v>
      </c>
      <c r="C58" s="12">
        <v>10</v>
      </c>
      <c r="D58" s="16" t="s">
        <v>660</v>
      </c>
      <c r="E58" s="11" t="s">
        <v>783</v>
      </c>
      <c r="F58" s="11" t="s">
        <v>784</v>
      </c>
      <c r="G58" s="11" t="s">
        <v>747</v>
      </c>
      <c r="H58" s="13" t="s">
        <v>77</v>
      </c>
      <c r="I58" s="14"/>
    </row>
    <row r="59" spans="1:9" x14ac:dyDescent="0.3">
      <c r="A59" s="9" t="s">
        <v>632</v>
      </c>
      <c r="B59" s="11" t="s">
        <v>633</v>
      </c>
      <c r="C59" s="12">
        <v>11</v>
      </c>
      <c r="D59" s="10" t="s">
        <v>643</v>
      </c>
      <c r="E59" s="11" t="s">
        <v>785</v>
      </c>
      <c r="F59" s="11" t="s">
        <v>786</v>
      </c>
      <c r="G59" s="11" t="s">
        <v>654</v>
      </c>
      <c r="H59" s="13" t="s">
        <v>77</v>
      </c>
      <c r="I59" s="14"/>
    </row>
    <row r="60" spans="1:9" ht="26.4" x14ac:dyDescent="0.3">
      <c r="A60" s="9" t="s">
        <v>632</v>
      </c>
      <c r="B60" s="11" t="s">
        <v>633</v>
      </c>
      <c r="C60" s="12">
        <v>12</v>
      </c>
      <c r="D60" s="16" t="s">
        <v>660</v>
      </c>
      <c r="E60" s="11" t="s">
        <v>787</v>
      </c>
      <c r="F60" s="11" t="s">
        <v>788</v>
      </c>
      <c r="G60" s="11" t="s">
        <v>789</v>
      </c>
      <c r="H60" s="13" t="s">
        <v>77</v>
      </c>
      <c r="I60" s="14"/>
    </row>
  </sheetData>
  <autoFilter ref="A1:I60" xr:uid="{00000000-0009-0000-0000-000002000000}"/>
  <conditionalFormatting sqref="H2:H60">
    <cfRule type="cellIs" dxfId="10" priority="2" operator="equal">
      <formula>"Pass"</formula>
    </cfRule>
    <cfRule type="cellIs" dxfId="9" priority="3" operator="equal">
      <formula>"Fail"</formula>
    </cfRule>
    <cfRule type="cellIs" dxfId="8" priority="4" operator="equal">
      <formula>"Blocked"</formula>
    </cfRule>
  </conditionalFormatting>
  <dataValidations count="1">
    <dataValidation type="list" sqref="H2:H60" xr:uid="{00000000-0002-0000-0200-000000000000}">
      <formula1>"Not Run,Pass,Fail,Blocked"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sheetPr>
  <dimension ref="A1:T41"/>
  <sheetViews>
    <sheetView zoomScaleNormal="100" workbookViewId="0">
      <pane xSplit="4" ySplit="4" topLeftCell="E5" activePane="bottomRight" state="frozen"/>
      <selection pane="topRight" activeCell="E1" sqref="E1"/>
      <selection pane="bottomLeft" activeCell="A5" sqref="A5"/>
      <selection pane="bottomRight"/>
    </sheetView>
  </sheetViews>
  <sheetFormatPr defaultColWidth="8.6640625" defaultRowHeight="14.4" x14ac:dyDescent="0.3"/>
  <cols>
    <col min="1" max="1" width="9" customWidth="1"/>
    <col min="2" max="2" width="28" customWidth="1"/>
    <col min="3" max="3" width="12" customWidth="1"/>
    <col min="4" max="4" width="38" customWidth="1"/>
    <col min="5" max="6" width="26" customWidth="1"/>
    <col min="7" max="7" width="24" customWidth="1"/>
    <col min="8" max="8" width="20" customWidth="1"/>
    <col min="9" max="12" width="6" customWidth="1"/>
    <col min="13" max="13" width="8" customWidth="1"/>
    <col min="14" max="14" width="13" customWidth="1"/>
    <col min="15" max="16" width="8" customWidth="1"/>
    <col min="17" max="17" width="13" customWidth="1"/>
    <col min="18" max="19" width="16" customWidth="1"/>
    <col min="20" max="20" width="36" customWidth="1"/>
  </cols>
  <sheetData>
    <row r="1" spans="1:20" ht="17.399999999999999" x14ac:dyDescent="0.3">
      <c r="A1" s="1" t="s">
        <v>790</v>
      </c>
    </row>
    <row r="2" spans="1:20" x14ac:dyDescent="0.3">
      <c r="A2" s="2" t="s">
        <v>791</v>
      </c>
    </row>
    <row r="4" spans="1:20" ht="31.5" customHeight="1" x14ac:dyDescent="0.3">
      <c r="A4" s="7" t="s">
        <v>792</v>
      </c>
      <c r="B4" s="7" t="s">
        <v>793</v>
      </c>
      <c r="C4" s="7" t="s">
        <v>794</v>
      </c>
      <c r="D4" s="7" t="s">
        <v>795</v>
      </c>
      <c r="E4" s="7" t="s">
        <v>796</v>
      </c>
      <c r="F4" s="7" t="s">
        <v>797</v>
      </c>
      <c r="G4" s="7" t="s">
        <v>798</v>
      </c>
      <c r="H4" s="7" t="s">
        <v>799</v>
      </c>
      <c r="I4" s="7" t="s">
        <v>800</v>
      </c>
      <c r="J4" s="7" t="s">
        <v>801</v>
      </c>
      <c r="K4" s="7" t="s">
        <v>802</v>
      </c>
      <c r="L4" s="7" t="s">
        <v>803</v>
      </c>
      <c r="M4" s="7" t="s">
        <v>804</v>
      </c>
      <c r="N4" s="7" t="s">
        <v>805</v>
      </c>
      <c r="O4" s="7" t="s">
        <v>806</v>
      </c>
      <c r="P4" s="7" t="s">
        <v>807</v>
      </c>
      <c r="Q4" s="7" t="s">
        <v>808</v>
      </c>
      <c r="R4" s="8" t="s">
        <v>809</v>
      </c>
      <c r="S4" s="8" t="s">
        <v>810</v>
      </c>
      <c r="T4" s="7" t="s">
        <v>811</v>
      </c>
    </row>
    <row r="5" spans="1:20" ht="39.6" x14ac:dyDescent="0.3">
      <c r="A5" s="18" t="s">
        <v>66</v>
      </c>
      <c r="B5" s="18" t="s">
        <v>812</v>
      </c>
      <c r="C5" s="11" t="s">
        <v>67</v>
      </c>
      <c r="D5" s="11" t="s">
        <v>813</v>
      </c>
      <c r="E5" s="11" t="s">
        <v>814</v>
      </c>
      <c r="F5" s="11" t="s">
        <v>815</v>
      </c>
      <c r="G5" s="11"/>
      <c r="H5" s="11" t="s">
        <v>816</v>
      </c>
      <c r="I5" s="12">
        <f>COUNTIFS('Test Cases'!$E$2:$E$106,"*"&amp;$C5&amp;"*",'Test Cases'!$B$2:$B$106,"Cypress (UI)")</f>
        <v>4</v>
      </c>
      <c r="J5" s="12">
        <f>COUNTIFS('Test Cases'!$E$2:$E$106,"*"&amp;$C5&amp;"*",'Test Cases'!$B$2:$B$106,"Postman (API)")</f>
        <v>1</v>
      </c>
      <c r="K5" s="12">
        <f>COUNTIFS('Test Cases'!$E$2:$E$106,"*"&amp;$C5&amp;"*",'Test Cases'!$B$2:$B$106,"SQL (DB)")</f>
        <v>0</v>
      </c>
      <c r="L5" s="12">
        <f>COUNTIFS('Test Cases'!$E$2:$E$106,"*"&amp;$C5&amp;"*",'Test Cases'!$B$2:$B$106,"E2E")</f>
        <v>4</v>
      </c>
      <c r="M5" s="12">
        <f t="shared" ref="M5:M41" si="0">SUM(I5:L5)</f>
        <v>9</v>
      </c>
      <c r="N5" s="12" t="str">
        <f t="shared" ref="N5:N41" si="1">IF(M5=0,"NOT COVERED","Covered")</f>
        <v>Covered</v>
      </c>
      <c r="O5" s="12">
        <f>COUNTIFS('Test Cases'!$E$2:$E$106,"*"&amp;$C5&amp;"*",'Test Cases'!$O$2:$O$106,"Pass")</f>
        <v>0</v>
      </c>
      <c r="P5" s="12">
        <f>COUNTIFS('Test Cases'!$E$2:$E$106,"*"&amp;$C5&amp;"*",'Test Cases'!$O$2:$O$106,"Fail")</f>
        <v>0</v>
      </c>
      <c r="Q5" s="12" t="str">
        <f t="shared" ref="Q5:Q41" si="2">IF(M5=0,"-",IF(P5&gt;0,"FAIL",IF(O5=M5,"PASS",IF(O5=0,"NOT RUN","IN PROGRESS"))))</f>
        <v>NOT RUN</v>
      </c>
      <c r="R5" s="14"/>
      <c r="S5" s="14"/>
      <c r="T5" s="11" t="s">
        <v>817</v>
      </c>
    </row>
    <row r="6" spans="1:20" ht="26.4" x14ac:dyDescent="0.3">
      <c r="A6" s="18" t="s">
        <v>66</v>
      </c>
      <c r="B6" s="18" t="s">
        <v>812</v>
      </c>
      <c r="C6" s="11" t="s">
        <v>79</v>
      </c>
      <c r="D6" s="11" t="s">
        <v>818</v>
      </c>
      <c r="E6" s="11" t="s">
        <v>819</v>
      </c>
      <c r="F6" s="11" t="s">
        <v>820</v>
      </c>
      <c r="G6" s="11"/>
      <c r="H6" s="11"/>
      <c r="I6" s="12">
        <f>COUNTIFS('Test Cases'!$E$2:$E$106,"*"&amp;$C6&amp;"*",'Test Cases'!$B$2:$B$106,"Cypress (UI)")</f>
        <v>1</v>
      </c>
      <c r="J6" s="12">
        <f>COUNTIFS('Test Cases'!$E$2:$E$106,"*"&amp;$C6&amp;"*",'Test Cases'!$B$2:$B$106,"Postman (API)")</f>
        <v>2</v>
      </c>
      <c r="K6" s="12">
        <f>COUNTIFS('Test Cases'!$E$2:$E$106,"*"&amp;$C6&amp;"*",'Test Cases'!$B$2:$B$106,"SQL (DB)")</f>
        <v>0</v>
      </c>
      <c r="L6" s="12">
        <f>COUNTIFS('Test Cases'!$E$2:$E$106,"*"&amp;$C6&amp;"*",'Test Cases'!$B$2:$B$106,"E2E")</f>
        <v>0</v>
      </c>
      <c r="M6" s="12">
        <f t="shared" si="0"/>
        <v>3</v>
      </c>
      <c r="N6" s="12" t="str">
        <f t="shared" si="1"/>
        <v>Covered</v>
      </c>
      <c r="O6" s="12">
        <f>COUNTIFS('Test Cases'!$E$2:$E$106,"*"&amp;$C6&amp;"*",'Test Cases'!$O$2:$O$106,"Pass")</f>
        <v>0</v>
      </c>
      <c r="P6" s="12">
        <f>COUNTIFS('Test Cases'!$E$2:$E$106,"*"&amp;$C6&amp;"*",'Test Cases'!$O$2:$O$106,"Fail")</f>
        <v>0</v>
      </c>
      <c r="Q6" s="12" t="str">
        <f t="shared" si="2"/>
        <v>NOT RUN</v>
      </c>
      <c r="R6" s="14"/>
      <c r="S6" s="14"/>
      <c r="T6" s="11" t="s">
        <v>817</v>
      </c>
    </row>
    <row r="7" spans="1:20" ht="26.4" x14ac:dyDescent="0.3">
      <c r="A7" s="18" t="s">
        <v>66</v>
      </c>
      <c r="B7" s="18" t="s">
        <v>812</v>
      </c>
      <c r="C7" s="11" t="s">
        <v>86</v>
      </c>
      <c r="D7" s="11" t="s">
        <v>87</v>
      </c>
      <c r="E7" s="11" t="s">
        <v>821</v>
      </c>
      <c r="F7" s="11" t="s">
        <v>815</v>
      </c>
      <c r="G7" s="11"/>
      <c r="H7" s="11"/>
      <c r="I7" s="12">
        <f>COUNTIFS('Test Cases'!$E$2:$E$106,"*"&amp;$C7&amp;"*",'Test Cases'!$B$2:$B$106,"Cypress (UI)")</f>
        <v>4</v>
      </c>
      <c r="J7" s="12">
        <f>COUNTIFS('Test Cases'!$E$2:$E$106,"*"&amp;$C7&amp;"*",'Test Cases'!$B$2:$B$106,"Postman (API)")</f>
        <v>1</v>
      </c>
      <c r="K7" s="12">
        <f>COUNTIFS('Test Cases'!$E$2:$E$106,"*"&amp;$C7&amp;"*",'Test Cases'!$B$2:$B$106,"SQL (DB)")</f>
        <v>0</v>
      </c>
      <c r="L7" s="12">
        <f>COUNTIFS('Test Cases'!$E$2:$E$106,"*"&amp;$C7&amp;"*",'Test Cases'!$B$2:$B$106,"E2E")</f>
        <v>0</v>
      </c>
      <c r="M7" s="12">
        <f t="shared" si="0"/>
        <v>5</v>
      </c>
      <c r="N7" s="12" t="str">
        <f t="shared" si="1"/>
        <v>Covered</v>
      </c>
      <c r="O7" s="12">
        <f>COUNTIFS('Test Cases'!$E$2:$E$106,"*"&amp;$C7&amp;"*",'Test Cases'!$O$2:$O$106,"Pass")</f>
        <v>0</v>
      </c>
      <c r="P7" s="12">
        <f>COUNTIFS('Test Cases'!$E$2:$E$106,"*"&amp;$C7&amp;"*",'Test Cases'!$O$2:$O$106,"Fail")</f>
        <v>0</v>
      </c>
      <c r="Q7" s="12" t="str">
        <f t="shared" si="2"/>
        <v>NOT RUN</v>
      </c>
      <c r="R7" s="14"/>
      <c r="S7" s="14"/>
      <c r="T7" s="11" t="s">
        <v>817</v>
      </c>
    </row>
    <row r="8" spans="1:20" ht="26.4" x14ac:dyDescent="0.3">
      <c r="A8" s="18" t="s">
        <v>66</v>
      </c>
      <c r="B8" s="18" t="s">
        <v>812</v>
      </c>
      <c r="C8" s="11" t="s">
        <v>91</v>
      </c>
      <c r="D8" s="11" t="s">
        <v>93</v>
      </c>
      <c r="E8" s="11" t="s">
        <v>822</v>
      </c>
      <c r="F8" s="11"/>
      <c r="G8" s="11"/>
      <c r="H8" s="11"/>
      <c r="I8" s="12">
        <f>COUNTIFS('Test Cases'!$E$2:$E$106,"*"&amp;$C8&amp;"*",'Test Cases'!$B$2:$B$106,"Cypress (UI)")</f>
        <v>1</v>
      </c>
      <c r="J8" s="12">
        <f>COUNTIFS('Test Cases'!$E$2:$E$106,"*"&amp;$C8&amp;"*",'Test Cases'!$B$2:$B$106,"Postman (API)")</f>
        <v>0</v>
      </c>
      <c r="K8" s="12">
        <f>COUNTIFS('Test Cases'!$E$2:$E$106,"*"&amp;$C8&amp;"*",'Test Cases'!$B$2:$B$106,"SQL (DB)")</f>
        <v>0</v>
      </c>
      <c r="L8" s="12">
        <f>COUNTIFS('Test Cases'!$E$2:$E$106,"*"&amp;$C8&amp;"*",'Test Cases'!$B$2:$B$106,"E2E")</f>
        <v>0</v>
      </c>
      <c r="M8" s="12">
        <f t="shared" si="0"/>
        <v>1</v>
      </c>
      <c r="N8" s="12" t="str">
        <f t="shared" si="1"/>
        <v>Covered</v>
      </c>
      <c r="O8" s="12">
        <f>COUNTIFS('Test Cases'!$E$2:$E$106,"*"&amp;$C8&amp;"*",'Test Cases'!$O$2:$O$106,"Pass")</f>
        <v>0</v>
      </c>
      <c r="P8" s="12">
        <f>COUNTIFS('Test Cases'!$E$2:$E$106,"*"&amp;$C8&amp;"*",'Test Cases'!$O$2:$O$106,"Fail")</f>
        <v>0</v>
      </c>
      <c r="Q8" s="12" t="str">
        <f t="shared" si="2"/>
        <v>NOT RUN</v>
      </c>
      <c r="R8" s="14"/>
      <c r="S8" s="14"/>
      <c r="T8" s="11" t="s">
        <v>817</v>
      </c>
    </row>
    <row r="9" spans="1:20" ht="26.4" x14ac:dyDescent="0.3">
      <c r="A9" s="18" t="s">
        <v>66</v>
      </c>
      <c r="B9" s="18" t="s">
        <v>812</v>
      </c>
      <c r="C9" s="11" t="s">
        <v>315</v>
      </c>
      <c r="D9" s="11" t="s">
        <v>823</v>
      </c>
      <c r="E9" s="11"/>
      <c r="F9" s="11" t="s">
        <v>824</v>
      </c>
      <c r="G9" s="11"/>
      <c r="H9" s="11"/>
      <c r="I9" s="12">
        <f>COUNTIFS('Test Cases'!$E$2:$E$106,"*"&amp;$C9&amp;"*",'Test Cases'!$B$2:$B$106,"Cypress (UI)")</f>
        <v>0</v>
      </c>
      <c r="J9" s="12">
        <f>COUNTIFS('Test Cases'!$E$2:$E$106,"*"&amp;$C9&amp;"*",'Test Cases'!$B$2:$B$106,"Postman (API)")</f>
        <v>1</v>
      </c>
      <c r="K9" s="12">
        <f>COUNTIFS('Test Cases'!$E$2:$E$106,"*"&amp;$C9&amp;"*",'Test Cases'!$B$2:$B$106,"SQL (DB)")</f>
        <v>0</v>
      </c>
      <c r="L9" s="12">
        <f>COUNTIFS('Test Cases'!$E$2:$E$106,"*"&amp;$C9&amp;"*",'Test Cases'!$B$2:$B$106,"E2E")</f>
        <v>0</v>
      </c>
      <c r="M9" s="12">
        <f t="shared" si="0"/>
        <v>1</v>
      </c>
      <c r="N9" s="12" t="str">
        <f t="shared" si="1"/>
        <v>Covered</v>
      </c>
      <c r="O9" s="12">
        <f>COUNTIFS('Test Cases'!$E$2:$E$106,"*"&amp;$C9&amp;"*",'Test Cases'!$O$2:$O$106,"Pass")</f>
        <v>0</v>
      </c>
      <c r="P9" s="12">
        <f>COUNTIFS('Test Cases'!$E$2:$E$106,"*"&amp;$C9&amp;"*",'Test Cases'!$O$2:$O$106,"Fail")</f>
        <v>0</v>
      </c>
      <c r="Q9" s="12" t="str">
        <f t="shared" si="2"/>
        <v>NOT RUN</v>
      </c>
      <c r="R9" s="14"/>
      <c r="S9" s="14"/>
      <c r="T9" s="11" t="s">
        <v>817</v>
      </c>
    </row>
    <row r="10" spans="1:20" ht="26.4" x14ac:dyDescent="0.3">
      <c r="A10" s="18" t="s">
        <v>66</v>
      </c>
      <c r="B10" s="18" t="s">
        <v>812</v>
      </c>
      <c r="C10" s="11" t="s">
        <v>320</v>
      </c>
      <c r="D10" s="11" t="s">
        <v>825</v>
      </c>
      <c r="E10" s="11"/>
      <c r="F10" s="11" t="s">
        <v>826</v>
      </c>
      <c r="G10" s="11"/>
      <c r="H10" s="11"/>
      <c r="I10" s="12">
        <f>COUNTIFS('Test Cases'!$E$2:$E$106,"*"&amp;$C10&amp;"*",'Test Cases'!$B$2:$B$106,"Cypress (UI)")</f>
        <v>0</v>
      </c>
      <c r="J10" s="12">
        <f>COUNTIFS('Test Cases'!$E$2:$E$106,"*"&amp;$C10&amp;"*",'Test Cases'!$B$2:$B$106,"Postman (API)")</f>
        <v>1</v>
      </c>
      <c r="K10" s="12">
        <f>COUNTIFS('Test Cases'!$E$2:$E$106,"*"&amp;$C10&amp;"*",'Test Cases'!$B$2:$B$106,"SQL (DB)")</f>
        <v>0</v>
      </c>
      <c r="L10" s="12">
        <f>COUNTIFS('Test Cases'!$E$2:$E$106,"*"&amp;$C10&amp;"*",'Test Cases'!$B$2:$B$106,"E2E")</f>
        <v>0</v>
      </c>
      <c r="M10" s="12">
        <f t="shared" si="0"/>
        <v>1</v>
      </c>
      <c r="N10" s="12" t="str">
        <f t="shared" si="1"/>
        <v>Covered</v>
      </c>
      <c r="O10" s="12">
        <f>COUNTIFS('Test Cases'!$E$2:$E$106,"*"&amp;$C10&amp;"*",'Test Cases'!$O$2:$O$106,"Pass")</f>
        <v>0</v>
      </c>
      <c r="P10" s="12">
        <f>COUNTIFS('Test Cases'!$E$2:$E$106,"*"&amp;$C10&amp;"*",'Test Cases'!$O$2:$O$106,"Fail")</f>
        <v>0</v>
      </c>
      <c r="Q10" s="12" t="str">
        <f t="shared" si="2"/>
        <v>NOT RUN</v>
      </c>
      <c r="R10" s="14"/>
      <c r="S10" s="14"/>
      <c r="T10" s="11" t="s">
        <v>817</v>
      </c>
    </row>
    <row r="11" spans="1:20" ht="26.4" x14ac:dyDescent="0.3">
      <c r="A11" s="18" t="s">
        <v>66</v>
      </c>
      <c r="B11" s="18" t="s">
        <v>812</v>
      </c>
      <c r="C11" s="11" t="s">
        <v>827</v>
      </c>
      <c r="D11" s="11" t="s">
        <v>828</v>
      </c>
      <c r="E11" s="11"/>
      <c r="F11" s="11" t="s">
        <v>829</v>
      </c>
      <c r="G11" s="11"/>
      <c r="H11" s="11"/>
      <c r="I11" s="12">
        <f>COUNTIFS('Test Cases'!$E$2:$E$106,"*"&amp;$C11&amp;"*",'Test Cases'!$B$2:$B$106,"Cypress (UI)")</f>
        <v>0</v>
      </c>
      <c r="J11" s="12">
        <f>COUNTIFS('Test Cases'!$E$2:$E$106,"*"&amp;$C11&amp;"*",'Test Cases'!$B$2:$B$106,"Postman (API)")</f>
        <v>1</v>
      </c>
      <c r="K11" s="12">
        <f>COUNTIFS('Test Cases'!$E$2:$E$106,"*"&amp;$C11&amp;"*",'Test Cases'!$B$2:$B$106,"SQL (DB)")</f>
        <v>0</v>
      </c>
      <c r="L11" s="12">
        <f>COUNTIFS('Test Cases'!$E$2:$E$106,"*"&amp;$C11&amp;"*",'Test Cases'!$B$2:$B$106,"E2E")</f>
        <v>0</v>
      </c>
      <c r="M11" s="12">
        <f t="shared" si="0"/>
        <v>1</v>
      </c>
      <c r="N11" s="12" t="str">
        <f t="shared" si="1"/>
        <v>Covered</v>
      </c>
      <c r="O11" s="12">
        <f>COUNTIFS('Test Cases'!$E$2:$E$106,"*"&amp;$C11&amp;"*",'Test Cases'!$O$2:$O$106,"Pass")</f>
        <v>0</v>
      </c>
      <c r="P11" s="12">
        <f>COUNTIFS('Test Cases'!$E$2:$E$106,"*"&amp;$C11&amp;"*",'Test Cases'!$O$2:$O$106,"Fail")</f>
        <v>0</v>
      </c>
      <c r="Q11" s="12" t="str">
        <f t="shared" si="2"/>
        <v>NOT RUN</v>
      </c>
      <c r="R11" s="14"/>
      <c r="S11" s="14"/>
      <c r="T11" s="11" t="s">
        <v>817</v>
      </c>
    </row>
    <row r="12" spans="1:20" ht="39.6" x14ac:dyDescent="0.3">
      <c r="A12" s="18" t="s">
        <v>99</v>
      </c>
      <c r="B12" s="18" t="s">
        <v>98</v>
      </c>
      <c r="C12" s="11" t="s">
        <v>100</v>
      </c>
      <c r="D12" s="11" t="s">
        <v>830</v>
      </c>
      <c r="E12" s="11" t="s">
        <v>831</v>
      </c>
      <c r="F12" s="11" t="s">
        <v>832</v>
      </c>
      <c r="G12" s="11" t="s">
        <v>833</v>
      </c>
      <c r="H12" s="11" t="s">
        <v>834</v>
      </c>
      <c r="I12" s="12">
        <f>COUNTIFS('Test Cases'!$E$2:$E$106,"*"&amp;$C12&amp;"*",'Test Cases'!$B$2:$B$106,"Cypress (UI)")</f>
        <v>2</v>
      </c>
      <c r="J12" s="12">
        <f>COUNTIFS('Test Cases'!$E$2:$E$106,"*"&amp;$C12&amp;"*",'Test Cases'!$B$2:$B$106,"Postman (API)")</f>
        <v>3</v>
      </c>
      <c r="K12" s="12">
        <f>COUNTIFS('Test Cases'!$E$2:$E$106,"*"&amp;$C12&amp;"*",'Test Cases'!$B$2:$B$106,"SQL (DB)")</f>
        <v>1</v>
      </c>
      <c r="L12" s="12">
        <f>COUNTIFS('Test Cases'!$E$2:$E$106,"*"&amp;$C12&amp;"*",'Test Cases'!$B$2:$B$106,"E2E")</f>
        <v>4</v>
      </c>
      <c r="M12" s="12">
        <f t="shared" si="0"/>
        <v>10</v>
      </c>
      <c r="N12" s="12" t="str">
        <f t="shared" si="1"/>
        <v>Covered</v>
      </c>
      <c r="O12" s="12">
        <f>COUNTIFS('Test Cases'!$E$2:$E$106,"*"&amp;$C12&amp;"*",'Test Cases'!$O$2:$O$106,"Pass")</f>
        <v>0</v>
      </c>
      <c r="P12" s="12">
        <f>COUNTIFS('Test Cases'!$E$2:$E$106,"*"&amp;$C12&amp;"*",'Test Cases'!$O$2:$O$106,"Fail")</f>
        <v>0</v>
      </c>
      <c r="Q12" s="12" t="str">
        <f t="shared" si="2"/>
        <v>NOT RUN</v>
      </c>
      <c r="R12" s="14"/>
      <c r="S12" s="14"/>
      <c r="T12" s="11" t="s">
        <v>835</v>
      </c>
    </row>
    <row r="13" spans="1:20" ht="26.4" x14ac:dyDescent="0.3">
      <c r="A13" s="18" t="s">
        <v>99</v>
      </c>
      <c r="B13" s="18" t="s">
        <v>98</v>
      </c>
      <c r="C13" s="11" t="s">
        <v>114</v>
      </c>
      <c r="D13" s="11" t="s">
        <v>836</v>
      </c>
      <c r="E13" s="11" t="s">
        <v>837</v>
      </c>
      <c r="F13" s="11" t="s">
        <v>838</v>
      </c>
      <c r="G13" s="11" t="s">
        <v>839</v>
      </c>
      <c r="H13" s="11" t="s">
        <v>840</v>
      </c>
      <c r="I13" s="12">
        <f>COUNTIFS('Test Cases'!$E$2:$E$106,"*"&amp;$C13&amp;"*",'Test Cases'!$B$2:$B$106,"Cypress (UI)")</f>
        <v>3</v>
      </c>
      <c r="J13" s="12">
        <f>COUNTIFS('Test Cases'!$E$2:$E$106,"*"&amp;$C13&amp;"*",'Test Cases'!$B$2:$B$106,"Postman (API)")</f>
        <v>1</v>
      </c>
      <c r="K13" s="12">
        <f>COUNTIFS('Test Cases'!$E$2:$E$106,"*"&amp;$C13&amp;"*",'Test Cases'!$B$2:$B$106,"SQL (DB)")</f>
        <v>1</v>
      </c>
      <c r="L13" s="12">
        <f>COUNTIFS('Test Cases'!$E$2:$E$106,"*"&amp;$C13&amp;"*",'Test Cases'!$B$2:$B$106,"E2E")</f>
        <v>1</v>
      </c>
      <c r="M13" s="12">
        <f t="shared" si="0"/>
        <v>6</v>
      </c>
      <c r="N13" s="12" t="str">
        <f t="shared" si="1"/>
        <v>Covered</v>
      </c>
      <c r="O13" s="12">
        <f>COUNTIFS('Test Cases'!$E$2:$E$106,"*"&amp;$C13&amp;"*",'Test Cases'!$O$2:$O$106,"Pass")</f>
        <v>0</v>
      </c>
      <c r="P13" s="12">
        <f>COUNTIFS('Test Cases'!$E$2:$E$106,"*"&amp;$C13&amp;"*",'Test Cases'!$O$2:$O$106,"Fail")</f>
        <v>0</v>
      </c>
      <c r="Q13" s="12" t="str">
        <f t="shared" si="2"/>
        <v>NOT RUN</v>
      </c>
      <c r="R13" s="14"/>
      <c r="S13" s="14"/>
      <c r="T13" s="11" t="s">
        <v>835</v>
      </c>
    </row>
    <row r="14" spans="1:20" ht="26.4" x14ac:dyDescent="0.3">
      <c r="A14" s="18" t="s">
        <v>99</v>
      </c>
      <c r="B14" s="18" t="s">
        <v>98</v>
      </c>
      <c r="C14" s="11" t="s">
        <v>120</v>
      </c>
      <c r="D14" s="11" t="s">
        <v>841</v>
      </c>
      <c r="E14" s="11" t="s">
        <v>842</v>
      </c>
      <c r="F14" s="11" t="s">
        <v>843</v>
      </c>
      <c r="G14" s="11"/>
      <c r="H14" s="11" t="s">
        <v>840</v>
      </c>
      <c r="I14" s="12">
        <f>COUNTIFS('Test Cases'!$E$2:$E$106,"*"&amp;$C14&amp;"*",'Test Cases'!$B$2:$B$106,"Cypress (UI)")</f>
        <v>2</v>
      </c>
      <c r="J14" s="12">
        <f>COUNTIFS('Test Cases'!$E$2:$E$106,"*"&amp;$C14&amp;"*",'Test Cases'!$B$2:$B$106,"Postman (API)")</f>
        <v>2</v>
      </c>
      <c r="K14" s="12">
        <f>COUNTIFS('Test Cases'!$E$2:$E$106,"*"&amp;$C14&amp;"*",'Test Cases'!$B$2:$B$106,"SQL (DB)")</f>
        <v>0</v>
      </c>
      <c r="L14" s="12">
        <f>COUNTIFS('Test Cases'!$E$2:$E$106,"*"&amp;$C14&amp;"*",'Test Cases'!$B$2:$B$106,"E2E")</f>
        <v>1</v>
      </c>
      <c r="M14" s="12">
        <f t="shared" si="0"/>
        <v>5</v>
      </c>
      <c r="N14" s="12" t="str">
        <f t="shared" si="1"/>
        <v>Covered</v>
      </c>
      <c r="O14" s="12">
        <f>COUNTIFS('Test Cases'!$E$2:$E$106,"*"&amp;$C14&amp;"*",'Test Cases'!$O$2:$O$106,"Pass")</f>
        <v>0</v>
      </c>
      <c r="P14" s="12">
        <f>COUNTIFS('Test Cases'!$E$2:$E$106,"*"&amp;$C14&amp;"*",'Test Cases'!$O$2:$O$106,"Fail")</f>
        <v>0</v>
      </c>
      <c r="Q14" s="12" t="str">
        <f t="shared" si="2"/>
        <v>NOT RUN</v>
      </c>
      <c r="R14" s="14"/>
      <c r="S14" s="14"/>
      <c r="T14" s="11" t="s">
        <v>835</v>
      </c>
    </row>
    <row r="15" spans="1:20" ht="26.4" x14ac:dyDescent="0.3">
      <c r="A15" s="18" t="s">
        <v>99</v>
      </c>
      <c r="B15" s="18" t="s">
        <v>98</v>
      </c>
      <c r="C15" s="11" t="s">
        <v>131</v>
      </c>
      <c r="D15" s="11" t="s">
        <v>844</v>
      </c>
      <c r="E15" s="11" t="s">
        <v>845</v>
      </c>
      <c r="F15" s="11" t="s">
        <v>846</v>
      </c>
      <c r="G15" s="11"/>
      <c r="H15" s="11" t="s">
        <v>847</v>
      </c>
      <c r="I15" s="12">
        <f>COUNTIFS('Test Cases'!$E$2:$E$106,"*"&amp;$C15&amp;"*",'Test Cases'!$B$2:$B$106,"Cypress (UI)")</f>
        <v>2</v>
      </c>
      <c r="J15" s="12">
        <f>COUNTIFS('Test Cases'!$E$2:$E$106,"*"&amp;$C15&amp;"*",'Test Cases'!$B$2:$B$106,"Postman (API)")</f>
        <v>1</v>
      </c>
      <c r="K15" s="12">
        <f>COUNTIFS('Test Cases'!$E$2:$E$106,"*"&amp;$C15&amp;"*",'Test Cases'!$B$2:$B$106,"SQL (DB)")</f>
        <v>0</v>
      </c>
      <c r="L15" s="12">
        <f>COUNTIFS('Test Cases'!$E$2:$E$106,"*"&amp;$C15&amp;"*",'Test Cases'!$B$2:$B$106,"E2E")</f>
        <v>1</v>
      </c>
      <c r="M15" s="12">
        <f t="shared" si="0"/>
        <v>4</v>
      </c>
      <c r="N15" s="12" t="str">
        <f t="shared" si="1"/>
        <v>Covered</v>
      </c>
      <c r="O15" s="12">
        <f>COUNTIFS('Test Cases'!$E$2:$E$106,"*"&amp;$C15&amp;"*",'Test Cases'!$O$2:$O$106,"Pass")</f>
        <v>0</v>
      </c>
      <c r="P15" s="12">
        <f>COUNTIFS('Test Cases'!$E$2:$E$106,"*"&amp;$C15&amp;"*",'Test Cases'!$O$2:$O$106,"Fail")</f>
        <v>0</v>
      </c>
      <c r="Q15" s="12" t="str">
        <f t="shared" si="2"/>
        <v>NOT RUN</v>
      </c>
      <c r="R15" s="14"/>
      <c r="S15" s="14"/>
      <c r="T15" s="11" t="s">
        <v>835</v>
      </c>
    </row>
    <row r="16" spans="1:20" ht="26.4" x14ac:dyDescent="0.3">
      <c r="A16" s="18" t="s">
        <v>99</v>
      </c>
      <c r="B16" s="18" t="s">
        <v>98</v>
      </c>
      <c r="C16" s="11" t="s">
        <v>140</v>
      </c>
      <c r="D16" s="11" t="s">
        <v>848</v>
      </c>
      <c r="E16" s="11" t="s">
        <v>849</v>
      </c>
      <c r="F16" s="11" t="s">
        <v>850</v>
      </c>
      <c r="G16" s="11" t="s">
        <v>851</v>
      </c>
      <c r="H16" s="11" t="s">
        <v>847</v>
      </c>
      <c r="I16" s="12">
        <f>COUNTIFS('Test Cases'!$E$2:$E$106,"*"&amp;$C16&amp;"*",'Test Cases'!$B$2:$B$106,"Cypress (UI)")</f>
        <v>1</v>
      </c>
      <c r="J16" s="12">
        <f>COUNTIFS('Test Cases'!$E$2:$E$106,"*"&amp;$C16&amp;"*",'Test Cases'!$B$2:$B$106,"Postman (API)")</f>
        <v>1</v>
      </c>
      <c r="K16" s="12">
        <f>COUNTIFS('Test Cases'!$E$2:$E$106,"*"&amp;$C16&amp;"*",'Test Cases'!$B$2:$B$106,"SQL (DB)")</f>
        <v>1</v>
      </c>
      <c r="L16" s="12">
        <f>COUNTIFS('Test Cases'!$E$2:$E$106,"*"&amp;$C16&amp;"*",'Test Cases'!$B$2:$B$106,"E2E")</f>
        <v>1</v>
      </c>
      <c r="M16" s="12">
        <f t="shared" si="0"/>
        <v>4</v>
      </c>
      <c r="N16" s="12" t="str">
        <f t="shared" si="1"/>
        <v>Covered</v>
      </c>
      <c r="O16" s="12">
        <f>COUNTIFS('Test Cases'!$E$2:$E$106,"*"&amp;$C16&amp;"*",'Test Cases'!$O$2:$O$106,"Pass")</f>
        <v>0</v>
      </c>
      <c r="P16" s="12">
        <f>COUNTIFS('Test Cases'!$E$2:$E$106,"*"&amp;$C16&amp;"*",'Test Cases'!$O$2:$O$106,"Fail")</f>
        <v>0</v>
      </c>
      <c r="Q16" s="12" t="str">
        <f t="shared" si="2"/>
        <v>NOT RUN</v>
      </c>
      <c r="R16" s="14"/>
      <c r="S16" s="14"/>
      <c r="T16" s="11" t="s">
        <v>835</v>
      </c>
    </row>
    <row r="17" spans="1:20" ht="26.4" x14ac:dyDescent="0.3">
      <c r="A17" s="18" t="s">
        <v>99</v>
      </c>
      <c r="B17" s="18" t="s">
        <v>98</v>
      </c>
      <c r="C17" s="11" t="s">
        <v>145</v>
      </c>
      <c r="D17" s="11" t="s">
        <v>852</v>
      </c>
      <c r="E17" s="11" t="s">
        <v>853</v>
      </c>
      <c r="F17" s="11" t="s">
        <v>854</v>
      </c>
      <c r="G17" s="11" t="s">
        <v>855</v>
      </c>
      <c r="H17" s="11" t="s">
        <v>856</v>
      </c>
      <c r="I17" s="12">
        <f>COUNTIFS('Test Cases'!$E$2:$E$106,"*"&amp;$C17&amp;"*",'Test Cases'!$B$2:$B$106,"Cypress (UI)")</f>
        <v>1</v>
      </c>
      <c r="J17" s="12">
        <f>COUNTIFS('Test Cases'!$E$2:$E$106,"*"&amp;$C17&amp;"*",'Test Cases'!$B$2:$B$106,"Postman (API)")</f>
        <v>1</v>
      </c>
      <c r="K17" s="12">
        <f>COUNTIFS('Test Cases'!$E$2:$E$106,"*"&amp;$C17&amp;"*",'Test Cases'!$B$2:$B$106,"SQL (DB)")</f>
        <v>2</v>
      </c>
      <c r="L17" s="12">
        <f>COUNTIFS('Test Cases'!$E$2:$E$106,"*"&amp;$C17&amp;"*",'Test Cases'!$B$2:$B$106,"E2E")</f>
        <v>1</v>
      </c>
      <c r="M17" s="12">
        <f t="shared" si="0"/>
        <v>5</v>
      </c>
      <c r="N17" s="12" t="str">
        <f t="shared" si="1"/>
        <v>Covered</v>
      </c>
      <c r="O17" s="12">
        <f>COUNTIFS('Test Cases'!$E$2:$E$106,"*"&amp;$C17&amp;"*",'Test Cases'!$O$2:$O$106,"Pass")</f>
        <v>0</v>
      </c>
      <c r="P17" s="12">
        <f>COUNTIFS('Test Cases'!$E$2:$E$106,"*"&amp;$C17&amp;"*",'Test Cases'!$O$2:$O$106,"Fail")</f>
        <v>0</v>
      </c>
      <c r="Q17" s="12" t="str">
        <f t="shared" si="2"/>
        <v>NOT RUN</v>
      </c>
      <c r="R17" s="14"/>
      <c r="S17" s="14"/>
      <c r="T17" s="11" t="s">
        <v>835</v>
      </c>
    </row>
    <row r="18" spans="1:20" ht="26.4" x14ac:dyDescent="0.3">
      <c r="A18" s="18" t="s">
        <v>99</v>
      </c>
      <c r="B18" s="18" t="s">
        <v>98</v>
      </c>
      <c r="C18" s="11" t="s">
        <v>150</v>
      </c>
      <c r="D18" s="11" t="s">
        <v>857</v>
      </c>
      <c r="E18" s="11" t="s">
        <v>858</v>
      </c>
      <c r="F18" s="11" t="s">
        <v>859</v>
      </c>
      <c r="G18" s="11" t="s">
        <v>860</v>
      </c>
      <c r="H18" s="11"/>
      <c r="I18" s="12">
        <f>COUNTIFS('Test Cases'!$E$2:$E$106,"*"&amp;$C18&amp;"*",'Test Cases'!$B$2:$B$106,"Cypress (UI)")</f>
        <v>1</v>
      </c>
      <c r="J18" s="12">
        <f>COUNTIFS('Test Cases'!$E$2:$E$106,"*"&amp;$C18&amp;"*",'Test Cases'!$B$2:$B$106,"Postman (API)")</f>
        <v>2</v>
      </c>
      <c r="K18" s="12">
        <f>COUNTIFS('Test Cases'!$E$2:$E$106,"*"&amp;$C18&amp;"*",'Test Cases'!$B$2:$B$106,"SQL (DB)")</f>
        <v>1</v>
      </c>
      <c r="L18" s="12">
        <f>COUNTIFS('Test Cases'!$E$2:$E$106,"*"&amp;$C18&amp;"*",'Test Cases'!$B$2:$B$106,"E2E")</f>
        <v>0</v>
      </c>
      <c r="M18" s="12">
        <f t="shared" si="0"/>
        <v>4</v>
      </c>
      <c r="N18" s="12" t="str">
        <f t="shared" si="1"/>
        <v>Covered</v>
      </c>
      <c r="O18" s="12">
        <f>COUNTIFS('Test Cases'!$E$2:$E$106,"*"&amp;$C18&amp;"*",'Test Cases'!$O$2:$O$106,"Pass")</f>
        <v>0</v>
      </c>
      <c r="P18" s="12">
        <f>COUNTIFS('Test Cases'!$E$2:$E$106,"*"&amp;$C18&amp;"*",'Test Cases'!$O$2:$O$106,"Fail")</f>
        <v>0</v>
      </c>
      <c r="Q18" s="12" t="str">
        <f t="shared" si="2"/>
        <v>NOT RUN</v>
      </c>
      <c r="R18" s="14"/>
      <c r="S18" s="14"/>
      <c r="T18" s="11" t="s">
        <v>835</v>
      </c>
    </row>
    <row r="19" spans="1:20" ht="26.4" x14ac:dyDescent="0.3">
      <c r="A19" s="18" t="s">
        <v>156</v>
      </c>
      <c r="B19" s="18" t="s">
        <v>155</v>
      </c>
      <c r="C19" s="11" t="s">
        <v>165</v>
      </c>
      <c r="D19" s="11" t="s">
        <v>861</v>
      </c>
      <c r="E19" s="11" t="s">
        <v>862</v>
      </c>
      <c r="F19" s="11" t="s">
        <v>863</v>
      </c>
      <c r="G19" s="11"/>
      <c r="H19" s="11" t="s">
        <v>864</v>
      </c>
      <c r="I19" s="12">
        <f>COUNTIFS('Test Cases'!$E$2:$E$106,"*"&amp;$C19&amp;"*",'Test Cases'!$B$2:$B$106,"Cypress (UI)")</f>
        <v>3</v>
      </c>
      <c r="J19" s="12">
        <f>COUNTIFS('Test Cases'!$E$2:$E$106,"*"&amp;$C19&amp;"*",'Test Cases'!$B$2:$B$106,"Postman (API)")</f>
        <v>3</v>
      </c>
      <c r="K19" s="12">
        <f>COUNTIFS('Test Cases'!$E$2:$E$106,"*"&amp;$C19&amp;"*",'Test Cases'!$B$2:$B$106,"SQL (DB)")</f>
        <v>0</v>
      </c>
      <c r="L19" s="12">
        <f>COUNTIFS('Test Cases'!$E$2:$E$106,"*"&amp;$C19&amp;"*",'Test Cases'!$B$2:$B$106,"E2E")</f>
        <v>1</v>
      </c>
      <c r="M19" s="12">
        <f t="shared" si="0"/>
        <v>7</v>
      </c>
      <c r="N19" s="12" t="str">
        <f t="shared" si="1"/>
        <v>Covered</v>
      </c>
      <c r="O19" s="12">
        <f>COUNTIFS('Test Cases'!$E$2:$E$106,"*"&amp;$C19&amp;"*",'Test Cases'!$O$2:$O$106,"Pass")</f>
        <v>0</v>
      </c>
      <c r="P19" s="12">
        <f>COUNTIFS('Test Cases'!$E$2:$E$106,"*"&amp;$C19&amp;"*",'Test Cases'!$O$2:$O$106,"Fail")</f>
        <v>0</v>
      </c>
      <c r="Q19" s="12" t="str">
        <f t="shared" si="2"/>
        <v>NOT RUN</v>
      </c>
      <c r="R19" s="14"/>
      <c r="S19" s="14"/>
      <c r="T19" s="11" t="s">
        <v>865</v>
      </c>
    </row>
    <row r="20" spans="1:20" ht="39.6" x14ac:dyDescent="0.3">
      <c r="A20" s="18" t="s">
        <v>156</v>
      </c>
      <c r="B20" s="18" t="s">
        <v>155</v>
      </c>
      <c r="C20" s="11" t="s">
        <v>157</v>
      </c>
      <c r="D20" s="11" t="s">
        <v>866</v>
      </c>
      <c r="E20" s="11" t="s">
        <v>867</v>
      </c>
      <c r="F20" s="11" t="s">
        <v>868</v>
      </c>
      <c r="G20" s="11" t="s">
        <v>869</v>
      </c>
      <c r="H20" s="11" t="s">
        <v>834</v>
      </c>
      <c r="I20" s="12">
        <f>COUNTIFS('Test Cases'!$E$2:$E$106,"*"&amp;$C20&amp;"*",'Test Cases'!$B$2:$B$106,"Cypress (UI)")</f>
        <v>1</v>
      </c>
      <c r="J20" s="12">
        <f>COUNTIFS('Test Cases'!$E$2:$E$106,"*"&amp;$C20&amp;"*",'Test Cases'!$B$2:$B$106,"Postman (API)")</f>
        <v>1</v>
      </c>
      <c r="K20" s="12">
        <f>COUNTIFS('Test Cases'!$E$2:$E$106,"*"&amp;$C20&amp;"*",'Test Cases'!$B$2:$B$106,"SQL (DB)")</f>
        <v>1</v>
      </c>
      <c r="L20" s="12">
        <f>COUNTIFS('Test Cases'!$E$2:$E$106,"*"&amp;$C20&amp;"*",'Test Cases'!$B$2:$B$106,"E2E")</f>
        <v>4</v>
      </c>
      <c r="M20" s="12">
        <f t="shared" si="0"/>
        <v>7</v>
      </c>
      <c r="N20" s="12" t="str">
        <f t="shared" si="1"/>
        <v>Covered</v>
      </c>
      <c r="O20" s="12">
        <f>COUNTIFS('Test Cases'!$E$2:$E$106,"*"&amp;$C20&amp;"*",'Test Cases'!$O$2:$O$106,"Pass")</f>
        <v>0</v>
      </c>
      <c r="P20" s="12">
        <f>COUNTIFS('Test Cases'!$E$2:$E$106,"*"&amp;$C20&amp;"*",'Test Cases'!$O$2:$O$106,"Fail")</f>
        <v>0</v>
      </c>
      <c r="Q20" s="12" t="str">
        <f t="shared" si="2"/>
        <v>NOT RUN</v>
      </c>
      <c r="R20" s="14"/>
      <c r="S20" s="14"/>
      <c r="T20" s="11" t="s">
        <v>865</v>
      </c>
    </row>
    <row r="21" spans="1:20" ht="26.4" x14ac:dyDescent="0.3">
      <c r="A21" s="18" t="s">
        <v>156</v>
      </c>
      <c r="B21" s="18" t="s">
        <v>155</v>
      </c>
      <c r="C21" s="11" t="s">
        <v>180</v>
      </c>
      <c r="D21" s="11" t="s">
        <v>870</v>
      </c>
      <c r="E21" s="11" t="s">
        <v>871</v>
      </c>
      <c r="F21" s="11" t="s">
        <v>872</v>
      </c>
      <c r="G21" s="11" t="s">
        <v>873</v>
      </c>
      <c r="H21" s="11" t="s">
        <v>864</v>
      </c>
      <c r="I21" s="12">
        <f>COUNTIFS('Test Cases'!$E$2:$E$106,"*"&amp;$C21&amp;"*",'Test Cases'!$B$2:$B$106,"Cypress (UI)")</f>
        <v>1</v>
      </c>
      <c r="J21" s="12">
        <f>COUNTIFS('Test Cases'!$E$2:$E$106,"*"&amp;$C21&amp;"*",'Test Cases'!$B$2:$B$106,"Postman (API)")</f>
        <v>1</v>
      </c>
      <c r="K21" s="12">
        <f>COUNTIFS('Test Cases'!$E$2:$E$106,"*"&amp;$C21&amp;"*",'Test Cases'!$B$2:$B$106,"SQL (DB)")</f>
        <v>1</v>
      </c>
      <c r="L21" s="12">
        <f>COUNTIFS('Test Cases'!$E$2:$E$106,"*"&amp;$C21&amp;"*",'Test Cases'!$B$2:$B$106,"E2E")</f>
        <v>1</v>
      </c>
      <c r="M21" s="12">
        <f t="shared" si="0"/>
        <v>4</v>
      </c>
      <c r="N21" s="12" t="str">
        <f t="shared" si="1"/>
        <v>Covered</v>
      </c>
      <c r="O21" s="12">
        <f>COUNTIFS('Test Cases'!$E$2:$E$106,"*"&amp;$C21&amp;"*",'Test Cases'!$O$2:$O$106,"Pass")</f>
        <v>0</v>
      </c>
      <c r="P21" s="12">
        <f>COUNTIFS('Test Cases'!$E$2:$E$106,"*"&amp;$C21&amp;"*",'Test Cases'!$O$2:$O$106,"Fail")</f>
        <v>0</v>
      </c>
      <c r="Q21" s="12" t="str">
        <f t="shared" si="2"/>
        <v>NOT RUN</v>
      </c>
      <c r="R21" s="14"/>
      <c r="S21" s="14"/>
      <c r="T21" s="11" t="s">
        <v>865</v>
      </c>
    </row>
    <row r="22" spans="1:20" ht="26.4" x14ac:dyDescent="0.3">
      <c r="A22" s="18" t="s">
        <v>156</v>
      </c>
      <c r="B22" s="18" t="s">
        <v>155</v>
      </c>
      <c r="C22" s="11" t="s">
        <v>186</v>
      </c>
      <c r="D22" s="11" t="s">
        <v>874</v>
      </c>
      <c r="E22" s="11" t="s">
        <v>875</v>
      </c>
      <c r="F22" s="11" t="s">
        <v>876</v>
      </c>
      <c r="G22" s="11" t="s">
        <v>877</v>
      </c>
      <c r="H22" s="11" t="s">
        <v>864</v>
      </c>
      <c r="I22" s="12">
        <f>COUNTIFS('Test Cases'!$E$2:$E$106,"*"&amp;$C22&amp;"*",'Test Cases'!$B$2:$B$106,"Cypress (UI)")</f>
        <v>1</v>
      </c>
      <c r="J22" s="12">
        <f>COUNTIFS('Test Cases'!$E$2:$E$106,"*"&amp;$C22&amp;"*",'Test Cases'!$B$2:$B$106,"Postman (API)")</f>
        <v>1</v>
      </c>
      <c r="K22" s="12">
        <f>COUNTIFS('Test Cases'!$E$2:$E$106,"*"&amp;$C22&amp;"*",'Test Cases'!$B$2:$B$106,"SQL (DB)")</f>
        <v>1</v>
      </c>
      <c r="L22" s="12">
        <f>COUNTIFS('Test Cases'!$E$2:$E$106,"*"&amp;$C22&amp;"*",'Test Cases'!$B$2:$B$106,"E2E")</f>
        <v>1</v>
      </c>
      <c r="M22" s="12">
        <f t="shared" si="0"/>
        <v>4</v>
      </c>
      <c r="N22" s="12" t="str">
        <f t="shared" si="1"/>
        <v>Covered</v>
      </c>
      <c r="O22" s="12">
        <f>COUNTIFS('Test Cases'!$E$2:$E$106,"*"&amp;$C22&amp;"*",'Test Cases'!$O$2:$O$106,"Pass")</f>
        <v>0</v>
      </c>
      <c r="P22" s="12">
        <f>COUNTIFS('Test Cases'!$E$2:$E$106,"*"&amp;$C22&amp;"*",'Test Cases'!$O$2:$O$106,"Fail")</f>
        <v>0</v>
      </c>
      <c r="Q22" s="12" t="str">
        <f t="shared" si="2"/>
        <v>NOT RUN</v>
      </c>
      <c r="R22" s="14"/>
      <c r="S22" s="14"/>
      <c r="T22" s="11" t="s">
        <v>865</v>
      </c>
    </row>
    <row r="23" spans="1:20" ht="26.4" x14ac:dyDescent="0.3">
      <c r="A23" s="18" t="s">
        <v>156</v>
      </c>
      <c r="B23" s="18" t="s">
        <v>155</v>
      </c>
      <c r="C23" s="11" t="s">
        <v>396</v>
      </c>
      <c r="D23" s="11" t="s">
        <v>878</v>
      </c>
      <c r="E23" s="11"/>
      <c r="F23" s="11" t="s">
        <v>879</v>
      </c>
      <c r="G23" s="11" t="s">
        <v>880</v>
      </c>
      <c r="H23" s="11" t="s">
        <v>881</v>
      </c>
      <c r="I23" s="12">
        <f>COUNTIFS('Test Cases'!$E$2:$E$106,"*"&amp;$C23&amp;"*",'Test Cases'!$B$2:$B$106,"Cypress (UI)")</f>
        <v>0</v>
      </c>
      <c r="J23" s="12">
        <f>COUNTIFS('Test Cases'!$E$2:$E$106,"*"&amp;$C23&amp;"*",'Test Cases'!$B$2:$B$106,"Postman (API)")</f>
        <v>2</v>
      </c>
      <c r="K23" s="12">
        <f>COUNTIFS('Test Cases'!$E$2:$E$106,"*"&amp;$C23&amp;"*",'Test Cases'!$B$2:$B$106,"SQL (DB)")</f>
        <v>1</v>
      </c>
      <c r="L23" s="12">
        <f>COUNTIFS('Test Cases'!$E$2:$E$106,"*"&amp;$C23&amp;"*",'Test Cases'!$B$2:$B$106,"E2E")</f>
        <v>1</v>
      </c>
      <c r="M23" s="12">
        <f t="shared" si="0"/>
        <v>4</v>
      </c>
      <c r="N23" s="12" t="str">
        <f t="shared" si="1"/>
        <v>Covered</v>
      </c>
      <c r="O23" s="12">
        <f>COUNTIFS('Test Cases'!$E$2:$E$106,"*"&amp;$C23&amp;"*",'Test Cases'!$O$2:$O$106,"Pass")</f>
        <v>0</v>
      </c>
      <c r="P23" s="12">
        <f>COUNTIFS('Test Cases'!$E$2:$E$106,"*"&amp;$C23&amp;"*",'Test Cases'!$O$2:$O$106,"Fail")</f>
        <v>0</v>
      </c>
      <c r="Q23" s="12" t="str">
        <f t="shared" si="2"/>
        <v>NOT RUN</v>
      </c>
      <c r="R23" s="14"/>
      <c r="S23" s="14"/>
      <c r="T23" s="11" t="s">
        <v>865</v>
      </c>
    </row>
    <row r="24" spans="1:20" ht="39.6" x14ac:dyDescent="0.3">
      <c r="A24" s="18" t="s">
        <v>192</v>
      </c>
      <c r="B24" s="18" t="s">
        <v>882</v>
      </c>
      <c r="C24" s="11" t="s">
        <v>209</v>
      </c>
      <c r="D24" s="11" t="s">
        <v>883</v>
      </c>
      <c r="E24" s="11" t="s">
        <v>884</v>
      </c>
      <c r="F24" s="11" t="s">
        <v>885</v>
      </c>
      <c r="G24" s="11" t="s">
        <v>886</v>
      </c>
      <c r="H24" s="11" t="s">
        <v>887</v>
      </c>
      <c r="I24" s="12">
        <f>COUNTIFS('Test Cases'!$E$2:$E$106,"*"&amp;$C24&amp;"*",'Test Cases'!$B$2:$B$106,"Cypress (UI)")</f>
        <v>1</v>
      </c>
      <c r="J24" s="12">
        <f>COUNTIFS('Test Cases'!$E$2:$E$106,"*"&amp;$C24&amp;"*",'Test Cases'!$B$2:$B$106,"Postman (API)")</f>
        <v>2</v>
      </c>
      <c r="K24" s="12">
        <f>COUNTIFS('Test Cases'!$E$2:$E$106,"*"&amp;$C24&amp;"*",'Test Cases'!$B$2:$B$106,"SQL (DB)")</f>
        <v>1</v>
      </c>
      <c r="L24" s="12">
        <f>COUNTIFS('Test Cases'!$E$2:$E$106,"*"&amp;$C24&amp;"*",'Test Cases'!$B$2:$B$106,"E2E")</f>
        <v>3</v>
      </c>
      <c r="M24" s="12">
        <f t="shared" si="0"/>
        <v>7</v>
      </c>
      <c r="N24" s="12" t="str">
        <f t="shared" si="1"/>
        <v>Covered</v>
      </c>
      <c r="O24" s="12">
        <f>COUNTIFS('Test Cases'!$E$2:$E$106,"*"&amp;$C24&amp;"*",'Test Cases'!$O$2:$O$106,"Pass")</f>
        <v>0</v>
      </c>
      <c r="P24" s="12">
        <f>COUNTIFS('Test Cases'!$E$2:$E$106,"*"&amp;$C24&amp;"*",'Test Cases'!$O$2:$O$106,"Fail")</f>
        <v>0</v>
      </c>
      <c r="Q24" s="12" t="str">
        <f t="shared" si="2"/>
        <v>NOT RUN</v>
      </c>
      <c r="R24" s="14"/>
      <c r="S24" s="14"/>
      <c r="T24" s="11" t="s">
        <v>888</v>
      </c>
    </row>
    <row r="25" spans="1:20" ht="26.4" x14ac:dyDescent="0.3">
      <c r="A25" s="18" t="s">
        <v>192</v>
      </c>
      <c r="B25" s="18" t="s">
        <v>882</v>
      </c>
      <c r="C25" s="11" t="s">
        <v>193</v>
      </c>
      <c r="D25" s="11" t="s">
        <v>889</v>
      </c>
      <c r="E25" s="11" t="s">
        <v>890</v>
      </c>
      <c r="F25" s="11" t="s">
        <v>891</v>
      </c>
      <c r="G25" s="11" t="s">
        <v>892</v>
      </c>
      <c r="H25" s="11" t="s">
        <v>893</v>
      </c>
      <c r="I25" s="12">
        <f>COUNTIFS('Test Cases'!$E$2:$E$106,"*"&amp;$C25&amp;"*",'Test Cases'!$B$2:$B$106,"Cypress (UI)")</f>
        <v>3</v>
      </c>
      <c r="J25" s="12">
        <f>COUNTIFS('Test Cases'!$E$2:$E$106,"*"&amp;$C25&amp;"*",'Test Cases'!$B$2:$B$106,"Postman (API)")</f>
        <v>2</v>
      </c>
      <c r="K25" s="12">
        <f>COUNTIFS('Test Cases'!$E$2:$E$106,"*"&amp;$C25&amp;"*",'Test Cases'!$B$2:$B$106,"SQL (DB)")</f>
        <v>1</v>
      </c>
      <c r="L25" s="12">
        <f>COUNTIFS('Test Cases'!$E$2:$E$106,"*"&amp;$C25&amp;"*",'Test Cases'!$B$2:$B$106,"E2E")</f>
        <v>2</v>
      </c>
      <c r="M25" s="12">
        <f t="shared" si="0"/>
        <v>8</v>
      </c>
      <c r="N25" s="12" t="str">
        <f t="shared" si="1"/>
        <v>Covered</v>
      </c>
      <c r="O25" s="12">
        <f>COUNTIFS('Test Cases'!$E$2:$E$106,"*"&amp;$C25&amp;"*",'Test Cases'!$O$2:$O$106,"Pass")</f>
        <v>0</v>
      </c>
      <c r="P25" s="12">
        <f>COUNTIFS('Test Cases'!$E$2:$E$106,"*"&amp;$C25&amp;"*",'Test Cases'!$O$2:$O$106,"Fail")</f>
        <v>0</v>
      </c>
      <c r="Q25" s="12" t="str">
        <f t="shared" si="2"/>
        <v>NOT RUN</v>
      </c>
      <c r="R25" s="14"/>
      <c r="S25" s="14"/>
      <c r="T25" s="11" t="s">
        <v>888</v>
      </c>
    </row>
    <row r="26" spans="1:20" ht="26.4" x14ac:dyDescent="0.3">
      <c r="A26" s="18" t="s">
        <v>192</v>
      </c>
      <c r="B26" s="18" t="s">
        <v>882</v>
      </c>
      <c r="C26" s="11" t="s">
        <v>200</v>
      </c>
      <c r="D26" s="11" t="s">
        <v>894</v>
      </c>
      <c r="E26" s="11" t="s">
        <v>895</v>
      </c>
      <c r="F26" s="11" t="s">
        <v>896</v>
      </c>
      <c r="G26" s="11" t="s">
        <v>897</v>
      </c>
      <c r="H26" s="11" t="s">
        <v>893</v>
      </c>
      <c r="I26" s="12">
        <f>COUNTIFS('Test Cases'!$E$2:$E$106,"*"&amp;$C26&amp;"*",'Test Cases'!$B$2:$B$106,"Cypress (UI)")</f>
        <v>3</v>
      </c>
      <c r="J26" s="12">
        <f>COUNTIFS('Test Cases'!$E$2:$E$106,"*"&amp;$C26&amp;"*",'Test Cases'!$B$2:$B$106,"Postman (API)")</f>
        <v>4</v>
      </c>
      <c r="K26" s="12">
        <f>COUNTIFS('Test Cases'!$E$2:$E$106,"*"&amp;$C26&amp;"*",'Test Cases'!$B$2:$B$106,"SQL (DB)")</f>
        <v>1</v>
      </c>
      <c r="L26" s="12">
        <f>COUNTIFS('Test Cases'!$E$2:$E$106,"*"&amp;$C26&amp;"*",'Test Cases'!$B$2:$B$106,"E2E")</f>
        <v>2</v>
      </c>
      <c r="M26" s="12">
        <f t="shared" si="0"/>
        <v>10</v>
      </c>
      <c r="N26" s="12" t="str">
        <f t="shared" si="1"/>
        <v>Covered</v>
      </c>
      <c r="O26" s="12">
        <f>COUNTIFS('Test Cases'!$E$2:$E$106,"*"&amp;$C26&amp;"*",'Test Cases'!$O$2:$O$106,"Pass")</f>
        <v>0</v>
      </c>
      <c r="P26" s="12">
        <f>COUNTIFS('Test Cases'!$E$2:$E$106,"*"&amp;$C26&amp;"*",'Test Cases'!$O$2:$O$106,"Fail")</f>
        <v>0</v>
      </c>
      <c r="Q26" s="12" t="str">
        <f t="shared" si="2"/>
        <v>NOT RUN</v>
      </c>
      <c r="R26" s="14"/>
      <c r="S26" s="14"/>
      <c r="T26" s="11" t="s">
        <v>888</v>
      </c>
    </row>
    <row r="27" spans="1:20" ht="26.4" x14ac:dyDescent="0.3">
      <c r="A27" s="18" t="s">
        <v>192</v>
      </c>
      <c r="B27" s="18" t="s">
        <v>882</v>
      </c>
      <c r="C27" s="11" t="s">
        <v>429</v>
      </c>
      <c r="D27" s="11" t="s">
        <v>898</v>
      </c>
      <c r="E27" s="11"/>
      <c r="F27" s="11" t="s">
        <v>899</v>
      </c>
      <c r="G27" s="11" t="s">
        <v>900</v>
      </c>
      <c r="H27" s="11" t="s">
        <v>840</v>
      </c>
      <c r="I27" s="12">
        <f>COUNTIFS('Test Cases'!$E$2:$E$106,"*"&amp;$C27&amp;"*",'Test Cases'!$B$2:$B$106,"Cypress (UI)")</f>
        <v>0</v>
      </c>
      <c r="J27" s="12">
        <f>COUNTIFS('Test Cases'!$E$2:$E$106,"*"&amp;$C27&amp;"*",'Test Cases'!$B$2:$B$106,"Postman (API)")</f>
        <v>2</v>
      </c>
      <c r="K27" s="12">
        <f>COUNTIFS('Test Cases'!$E$2:$E$106,"*"&amp;$C27&amp;"*",'Test Cases'!$B$2:$B$106,"SQL (DB)")</f>
        <v>1</v>
      </c>
      <c r="L27" s="12">
        <f>COUNTIFS('Test Cases'!$E$2:$E$106,"*"&amp;$C27&amp;"*",'Test Cases'!$B$2:$B$106,"E2E")</f>
        <v>1</v>
      </c>
      <c r="M27" s="12">
        <f t="shared" si="0"/>
        <v>4</v>
      </c>
      <c r="N27" s="12" t="str">
        <f t="shared" si="1"/>
        <v>Covered</v>
      </c>
      <c r="O27" s="12">
        <f>COUNTIFS('Test Cases'!$E$2:$E$106,"*"&amp;$C27&amp;"*",'Test Cases'!$O$2:$O$106,"Pass")</f>
        <v>0</v>
      </c>
      <c r="P27" s="12">
        <f>COUNTIFS('Test Cases'!$E$2:$E$106,"*"&amp;$C27&amp;"*",'Test Cases'!$O$2:$O$106,"Fail")</f>
        <v>0</v>
      </c>
      <c r="Q27" s="12" t="str">
        <f t="shared" si="2"/>
        <v>NOT RUN</v>
      </c>
      <c r="R27" s="14"/>
      <c r="S27" s="14"/>
      <c r="T27" s="11" t="s">
        <v>888</v>
      </c>
    </row>
    <row r="28" spans="1:20" ht="26.4" x14ac:dyDescent="0.3">
      <c r="A28" s="18" t="s">
        <v>192</v>
      </c>
      <c r="B28" s="18" t="s">
        <v>882</v>
      </c>
      <c r="C28" s="11" t="s">
        <v>219</v>
      </c>
      <c r="D28" s="11" t="s">
        <v>901</v>
      </c>
      <c r="E28" s="11" t="s">
        <v>902</v>
      </c>
      <c r="F28" s="11" t="s">
        <v>903</v>
      </c>
      <c r="G28" s="11" t="s">
        <v>904</v>
      </c>
      <c r="H28" s="11" t="s">
        <v>840</v>
      </c>
      <c r="I28" s="12">
        <f>COUNTIFS('Test Cases'!$E$2:$E$106,"*"&amp;$C28&amp;"*",'Test Cases'!$B$2:$B$106,"Cypress (UI)")</f>
        <v>1</v>
      </c>
      <c r="J28" s="12">
        <f>COUNTIFS('Test Cases'!$E$2:$E$106,"*"&amp;$C28&amp;"*",'Test Cases'!$B$2:$B$106,"Postman (API)")</f>
        <v>1</v>
      </c>
      <c r="K28" s="12">
        <f>COUNTIFS('Test Cases'!$E$2:$E$106,"*"&amp;$C28&amp;"*",'Test Cases'!$B$2:$B$106,"SQL (DB)")</f>
        <v>1</v>
      </c>
      <c r="L28" s="12">
        <f>COUNTIFS('Test Cases'!$E$2:$E$106,"*"&amp;$C28&amp;"*",'Test Cases'!$B$2:$B$106,"E2E")</f>
        <v>1</v>
      </c>
      <c r="M28" s="12">
        <f t="shared" si="0"/>
        <v>4</v>
      </c>
      <c r="N28" s="12" t="str">
        <f t="shared" si="1"/>
        <v>Covered</v>
      </c>
      <c r="O28" s="12">
        <f>COUNTIFS('Test Cases'!$E$2:$E$106,"*"&amp;$C28&amp;"*",'Test Cases'!$O$2:$O$106,"Pass")</f>
        <v>0</v>
      </c>
      <c r="P28" s="12">
        <f>COUNTIFS('Test Cases'!$E$2:$E$106,"*"&amp;$C28&amp;"*",'Test Cases'!$O$2:$O$106,"Fail")</f>
        <v>0</v>
      </c>
      <c r="Q28" s="12" t="str">
        <f t="shared" si="2"/>
        <v>NOT RUN</v>
      </c>
      <c r="R28" s="14"/>
      <c r="S28" s="14"/>
      <c r="T28" s="11" t="s">
        <v>888</v>
      </c>
    </row>
    <row r="29" spans="1:20" ht="26.4" x14ac:dyDescent="0.3">
      <c r="A29" s="18" t="s">
        <v>250</v>
      </c>
      <c r="B29" s="18" t="s">
        <v>905</v>
      </c>
      <c r="C29" s="11" t="s">
        <v>251</v>
      </c>
      <c r="D29" s="11" t="s">
        <v>906</v>
      </c>
      <c r="E29" s="11" t="s">
        <v>907</v>
      </c>
      <c r="F29" s="11" t="s">
        <v>908</v>
      </c>
      <c r="G29" s="11"/>
      <c r="H29" s="11" t="s">
        <v>881</v>
      </c>
      <c r="I29" s="12">
        <f>COUNTIFS('Test Cases'!$E$2:$E$106,"*"&amp;$C29&amp;"*",'Test Cases'!$B$2:$B$106,"Cypress (UI)")</f>
        <v>2</v>
      </c>
      <c r="J29" s="12">
        <f>COUNTIFS('Test Cases'!$E$2:$E$106,"*"&amp;$C29&amp;"*",'Test Cases'!$B$2:$B$106,"Postman (API)")</f>
        <v>2</v>
      </c>
      <c r="K29" s="12">
        <f>COUNTIFS('Test Cases'!$E$2:$E$106,"*"&amp;$C29&amp;"*",'Test Cases'!$B$2:$B$106,"SQL (DB)")</f>
        <v>0</v>
      </c>
      <c r="L29" s="12">
        <f>COUNTIFS('Test Cases'!$E$2:$E$106,"*"&amp;$C29&amp;"*",'Test Cases'!$B$2:$B$106,"E2E")</f>
        <v>1</v>
      </c>
      <c r="M29" s="12">
        <f t="shared" si="0"/>
        <v>5</v>
      </c>
      <c r="N29" s="12" t="str">
        <f t="shared" si="1"/>
        <v>Covered</v>
      </c>
      <c r="O29" s="12">
        <f>COUNTIFS('Test Cases'!$E$2:$E$106,"*"&amp;$C29&amp;"*",'Test Cases'!$O$2:$O$106,"Pass")</f>
        <v>0</v>
      </c>
      <c r="P29" s="12">
        <f>COUNTIFS('Test Cases'!$E$2:$E$106,"*"&amp;$C29&amp;"*",'Test Cases'!$O$2:$O$106,"Fail")</f>
        <v>0</v>
      </c>
      <c r="Q29" s="12" t="str">
        <f t="shared" si="2"/>
        <v>NOT RUN</v>
      </c>
      <c r="R29" s="14"/>
      <c r="S29" s="14"/>
      <c r="T29" s="11" t="s">
        <v>909</v>
      </c>
    </row>
    <row r="30" spans="1:20" ht="26.4" x14ac:dyDescent="0.3">
      <c r="A30" s="18" t="s">
        <v>250</v>
      </c>
      <c r="B30" s="18" t="s">
        <v>905</v>
      </c>
      <c r="C30" s="11" t="s">
        <v>262</v>
      </c>
      <c r="D30" s="11" t="s">
        <v>910</v>
      </c>
      <c r="E30" s="11" t="s">
        <v>911</v>
      </c>
      <c r="F30" s="11" t="s">
        <v>912</v>
      </c>
      <c r="G30" s="11"/>
      <c r="H30" s="11" t="s">
        <v>881</v>
      </c>
      <c r="I30" s="12">
        <f>COUNTIFS('Test Cases'!$E$2:$E$106,"*"&amp;$C30&amp;"*",'Test Cases'!$B$2:$B$106,"Cypress (UI)")</f>
        <v>1</v>
      </c>
      <c r="J30" s="12">
        <f>COUNTIFS('Test Cases'!$E$2:$E$106,"*"&amp;$C30&amp;"*",'Test Cases'!$B$2:$B$106,"Postman (API)")</f>
        <v>2</v>
      </c>
      <c r="K30" s="12">
        <f>COUNTIFS('Test Cases'!$E$2:$E$106,"*"&amp;$C30&amp;"*",'Test Cases'!$B$2:$B$106,"SQL (DB)")</f>
        <v>0</v>
      </c>
      <c r="L30" s="12">
        <f>COUNTIFS('Test Cases'!$E$2:$E$106,"*"&amp;$C30&amp;"*",'Test Cases'!$B$2:$B$106,"E2E")</f>
        <v>1</v>
      </c>
      <c r="M30" s="12">
        <f t="shared" si="0"/>
        <v>4</v>
      </c>
      <c r="N30" s="12" t="str">
        <f t="shared" si="1"/>
        <v>Covered</v>
      </c>
      <c r="O30" s="12">
        <f>COUNTIFS('Test Cases'!$E$2:$E$106,"*"&amp;$C30&amp;"*",'Test Cases'!$O$2:$O$106,"Pass")</f>
        <v>0</v>
      </c>
      <c r="P30" s="12">
        <f>COUNTIFS('Test Cases'!$E$2:$E$106,"*"&amp;$C30&amp;"*",'Test Cases'!$O$2:$O$106,"Fail")</f>
        <v>0</v>
      </c>
      <c r="Q30" s="12" t="str">
        <f t="shared" si="2"/>
        <v>NOT RUN</v>
      </c>
      <c r="R30" s="14"/>
      <c r="S30" s="14"/>
      <c r="T30" s="11" t="s">
        <v>909</v>
      </c>
    </row>
    <row r="31" spans="1:20" ht="26.4" x14ac:dyDescent="0.3">
      <c r="A31" s="18" t="s">
        <v>250</v>
      </c>
      <c r="B31" s="18" t="s">
        <v>905</v>
      </c>
      <c r="C31" s="11" t="s">
        <v>267</v>
      </c>
      <c r="D31" s="11" t="s">
        <v>913</v>
      </c>
      <c r="E31" s="11" t="s">
        <v>914</v>
      </c>
      <c r="F31" s="11" t="s">
        <v>915</v>
      </c>
      <c r="G31" s="11" t="s">
        <v>880</v>
      </c>
      <c r="H31" s="11" t="s">
        <v>881</v>
      </c>
      <c r="I31" s="12">
        <f>COUNTIFS('Test Cases'!$E$2:$E$106,"*"&amp;$C31&amp;"*",'Test Cases'!$B$2:$B$106,"Cypress (UI)")</f>
        <v>1</v>
      </c>
      <c r="J31" s="12">
        <f>COUNTIFS('Test Cases'!$E$2:$E$106,"*"&amp;$C31&amp;"*",'Test Cases'!$B$2:$B$106,"Postman (API)")</f>
        <v>1</v>
      </c>
      <c r="K31" s="12">
        <f>COUNTIFS('Test Cases'!$E$2:$E$106,"*"&amp;$C31&amp;"*",'Test Cases'!$B$2:$B$106,"SQL (DB)")</f>
        <v>1</v>
      </c>
      <c r="L31" s="12">
        <f>COUNTIFS('Test Cases'!$E$2:$E$106,"*"&amp;$C31&amp;"*",'Test Cases'!$B$2:$B$106,"E2E")</f>
        <v>1</v>
      </c>
      <c r="M31" s="12">
        <f t="shared" si="0"/>
        <v>4</v>
      </c>
      <c r="N31" s="12" t="str">
        <f t="shared" si="1"/>
        <v>Covered</v>
      </c>
      <c r="O31" s="12">
        <f>COUNTIFS('Test Cases'!$E$2:$E$106,"*"&amp;$C31&amp;"*",'Test Cases'!$O$2:$O$106,"Pass")</f>
        <v>0</v>
      </c>
      <c r="P31" s="12">
        <f>COUNTIFS('Test Cases'!$E$2:$E$106,"*"&amp;$C31&amp;"*",'Test Cases'!$O$2:$O$106,"Fail")</f>
        <v>0</v>
      </c>
      <c r="Q31" s="12" t="str">
        <f t="shared" si="2"/>
        <v>NOT RUN</v>
      </c>
      <c r="R31" s="14"/>
      <c r="S31" s="14"/>
      <c r="T31" s="11" t="s">
        <v>909</v>
      </c>
    </row>
    <row r="32" spans="1:20" ht="26.4" x14ac:dyDescent="0.3">
      <c r="A32" s="18" t="s">
        <v>250</v>
      </c>
      <c r="B32" s="18" t="s">
        <v>905</v>
      </c>
      <c r="C32" s="11" t="s">
        <v>579</v>
      </c>
      <c r="D32" s="11" t="s">
        <v>916</v>
      </c>
      <c r="E32" s="11"/>
      <c r="F32" s="11"/>
      <c r="G32" s="11" t="s">
        <v>917</v>
      </c>
      <c r="H32" s="11" t="s">
        <v>918</v>
      </c>
      <c r="I32" s="12">
        <f>COUNTIFS('Test Cases'!$E$2:$E$106,"*"&amp;$C32&amp;"*",'Test Cases'!$B$2:$B$106,"Cypress (UI)")</f>
        <v>0</v>
      </c>
      <c r="J32" s="12">
        <f>COUNTIFS('Test Cases'!$E$2:$E$106,"*"&amp;$C32&amp;"*",'Test Cases'!$B$2:$B$106,"Postman (API)")</f>
        <v>0</v>
      </c>
      <c r="K32" s="12">
        <f>COUNTIFS('Test Cases'!$E$2:$E$106,"*"&amp;$C32&amp;"*",'Test Cases'!$B$2:$B$106,"SQL (DB)")</f>
        <v>1</v>
      </c>
      <c r="L32" s="12">
        <f>COUNTIFS('Test Cases'!$E$2:$E$106,"*"&amp;$C32&amp;"*",'Test Cases'!$B$2:$B$106,"E2E")</f>
        <v>2</v>
      </c>
      <c r="M32" s="12">
        <f t="shared" si="0"/>
        <v>3</v>
      </c>
      <c r="N32" s="12" t="str">
        <f t="shared" si="1"/>
        <v>Covered</v>
      </c>
      <c r="O32" s="12">
        <f>COUNTIFS('Test Cases'!$E$2:$E$106,"*"&amp;$C32&amp;"*",'Test Cases'!$O$2:$O$106,"Pass")</f>
        <v>0</v>
      </c>
      <c r="P32" s="12">
        <f>COUNTIFS('Test Cases'!$E$2:$E$106,"*"&amp;$C32&amp;"*",'Test Cases'!$O$2:$O$106,"Fail")</f>
        <v>0</v>
      </c>
      <c r="Q32" s="12" t="str">
        <f t="shared" si="2"/>
        <v>NOT RUN</v>
      </c>
      <c r="R32" s="14"/>
      <c r="S32" s="14"/>
      <c r="T32" s="11" t="s">
        <v>909</v>
      </c>
    </row>
    <row r="33" spans="1:20" ht="26.4" x14ac:dyDescent="0.3">
      <c r="A33" s="18" t="s">
        <v>250</v>
      </c>
      <c r="B33" s="18" t="s">
        <v>905</v>
      </c>
      <c r="C33" s="11" t="s">
        <v>586</v>
      </c>
      <c r="D33" s="11" t="s">
        <v>919</v>
      </c>
      <c r="E33" s="11"/>
      <c r="F33" s="11"/>
      <c r="G33" s="11" t="s">
        <v>920</v>
      </c>
      <c r="H33" s="11" t="s">
        <v>881</v>
      </c>
      <c r="I33" s="12">
        <f>COUNTIFS('Test Cases'!$E$2:$E$106,"*"&amp;$C33&amp;"*",'Test Cases'!$B$2:$B$106,"Cypress (UI)")</f>
        <v>0</v>
      </c>
      <c r="J33" s="12">
        <f>COUNTIFS('Test Cases'!$E$2:$E$106,"*"&amp;$C33&amp;"*",'Test Cases'!$B$2:$B$106,"Postman (API)")</f>
        <v>0</v>
      </c>
      <c r="K33" s="12">
        <f>COUNTIFS('Test Cases'!$E$2:$E$106,"*"&amp;$C33&amp;"*",'Test Cases'!$B$2:$B$106,"SQL (DB)")</f>
        <v>2</v>
      </c>
      <c r="L33" s="12">
        <f>COUNTIFS('Test Cases'!$E$2:$E$106,"*"&amp;$C33&amp;"*",'Test Cases'!$B$2:$B$106,"E2E")</f>
        <v>1</v>
      </c>
      <c r="M33" s="12">
        <f t="shared" si="0"/>
        <v>3</v>
      </c>
      <c r="N33" s="12" t="str">
        <f t="shared" si="1"/>
        <v>Covered</v>
      </c>
      <c r="O33" s="12">
        <f>COUNTIFS('Test Cases'!$E$2:$E$106,"*"&amp;$C33&amp;"*",'Test Cases'!$O$2:$O$106,"Pass")</f>
        <v>0</v>
      </c>
      <c r="P33" s="12">
        <f>COUNTIFS('Test Cases'!$E$2:$E$106,"*"&amp;$C33&amp;"*",'Test Cases'!$O$2:$O$106,"Fail")</f>
        <v>0</v>
      </c>
      <c r="Q33" s="12" t="str">
        <f t="shared" si="2"/>
        <v>NOT RUN</v>
      </c>
      <c r="R33" s="14"/>
      <c r="S33" s="14"/>
      <c r="T33" s="11" t="s">
        <v>909</v>
      </c>
    </row>
    <row r="34" spans="1:20" ht="26.4" x14ac:dyDescent="0.3">
      <c r="A34" s="18" t="s">
        <v>225</v>
      </c>
      <c r="B34" s="18" t="s">
        <v>921</v>
      </c>
      <c r="C34" s="11" t="s">
        <v>226</v>
      </c>
      <c r="D34" s="11" t="s">
        <v>922</v>
      </c>
      <c r="E34" s="11" t="s">
        <v>923</v>
      </c>
      <c r="F34" s="11" t="s">
        <v>924</v>
      </c>
      <c r="G34" s="11"/>
      <c r="H34" s="11"/>
      <c r="I34" s="12">
        <f>COUNTIFS('Test Cases'!$E$2:$E$106,"*"&amp;$C34&amp;"*",'Test Cases'!$B$2:$B$106,"Cypress (UI)")</f>
        <v>1</v>
      </c>
      <c r="J34" s="12">
        <f>COUNTIFS('Test Cases'!$E$2:$E$106,"*"&amp;$C34&amp;"*",'Test Cases'!$B$2:$B$106,"Postman (API)")</f>
        <v>1</v>
      </c>
      <c r="K34" s="12">
        <f>COUNTIFS('Test Cases'!$E$2:$E$106,"*"&amp;$C34&amp;"*",'Test Cases'!$B$2:$B$106,"SQL (DB)")</f>
        <v>0</v>
      </c>
      <c r="L34" s="12">
        <f>COUNTIFS('Test Cases'!$E$2:$E$106,"*"&amp;$C34&amp;"*",'Test Cases'!$B$2:$B$106,"E2E")</f>
        <v>0</v>
      </c>
      <c r="M34" s="12">
        <f t="shared" si="0"/>
        <v>2</v>
      </c>
      <c r="N34" s="12" t="str">
        <f t="shared" si="1"/>
        <v>Covered</v>
      </c>
      <c r="O34" s="12">
        <f>COUNTIFS('Test Cases'!$E$2:$E$106,"*"&amp;$C34&amp;"*",'Test Cases'!$O$2:$O$106,"Pass")</f>
        <v>0</v>
      </c>
      <c r="P34" s="12">
        <f>COUNTIFS('Test Cases'!$E$2:$E$106,"*"&amp;$C34&amp;"*",'Test Cases'!$O$2:$O$106,"Fail")</f>
        <v>0</v>
      </c>
      <c r="Q34" s="12" t="str">
        <f t="shared" si="2"/>
        <v>NOT RUN</v>
      </c>
      <c r="R34" s="14"/>
      <c r="S34" s="14"/>
      <c r="T34" s="11" t="s">
        <v>925</v>
      </c>
    </row>
    <row r="35" spans="1:20" ht="26.4" x14ac:dyDescent="0.3">
      <c r="A35" s="18" t="s">
        <v>225</v>
      </c>
      <c r="B35" s="18" t="s">
        <v>921</v>
      </c>
      <c r="C35" s="11" t="s">
        <v>234</v>
      </c>
      <c r="D35" s="11" t="s">
        <v>926</v>
      </c>
      <c r="E35" s="11" t="s">
        <v>927</v>
      </c>
      <c r="F35" s="11" t="s">
        <v>924</v>
      </c>
      <c r="G35" s="11"/>
      <c r="H35" s="11"/>
      <c r="I35" s="12">
        <f>COUNTIFS('Test Cases'!$E$2:$E$106,"*"&amp;$C35&amp;"*",'Test Cases'!$B$2:$B$106,"Cypress (UI)")</f>
        <v>1</v>
      </c>
      <c r="J35" s="12">
        <f>COUNTIFS('Test Cases'!$E$2:$E$106,"*"&amp;$C35&amp;"*",'Test Cases'!$B$2:$B$106,"Postman (API)")</f>
        <v>1</v>
      </c>
      <c r="K35" s="12">
        <f>COUNTIFS('Test Cases'!$E$2:$E$106,"*"&amp;$C35&amp;"*",'Test Cases'!$B$2:$B$106,"SQL (DB)")</f>
        <v>0</v>
      </c>
      <c r="L35" s="12">
        <f>COUNTIFS('Test Cases'!$E$2:$E$106,"*"&amp;$C35&amp;"*",'Test Cases'!$B$2:$B$106,"E2E")</f>
        <v>0</v>
      </c>
      <c r="M35" s="12">
        <f t="shared" si="0"/>
        <v>2</v>
      </c>
      <c r="N35" s="12" t="str">
        <f t="shared" si="1"/>
        <v>Covered</v>
      </c>
      <c r="O35" s="12">
        <f>COUNTIFS('Test Cases'!$E$2:$E$106,"*"&amp;$C35&amp;"*",'Test Cases'!$O$2:$O$106,"Pass")</f>
        <v>0</v>
      </c>
      <c r="P35" s="12">
        <f>COUNTIFS('Test Cases'!$E$2:$E$106,"*"&amp;$C35&amp;"*",'Test Cases'!$O$2:$O$106,"Fail")</f>
        <v>0</v>
      </c>
      <c r="Q35" s="12" t="str">
        <f t="shared" si="2"/>
        <v>NOT RUN</v>
      </c>
      <c r="R35" s="14"/>
      <c r="S35" s="14"/>
      <c r="T35" s="11" t="s">
        <v>925</v>
      </c>
    </row>
    <row r="36" spans="1:20" ht="26.4" x14ac:dyDescent="0.3">
      <c r="A36" s="18" t="s">
        <v>225</v>
      </c>
      <c r="B36" s="18" t="s">
        <v>921</v>
      </c>
      <c r="C36" s="11" t="s">
        <v>239</v>
      </c>
      <c r="D36" s="11" t="s">
        <v>928</v>
      </c>
      <c r="E36" s="11" t="s">
        <v>929</v>
      </c>
      <c r="F36" s="11" t="s">
        <v>930</v>
      </c>
      <c r="G36" s="11"/>
      <c r="H36" s="11" t="s">
        <v>847</v>
      </c>
      <c r="I36" s="12">
        <f>COUNTIFS('Test Cases'!$E$2:$E$106,"*"&amp;$C36&amp;"*",'Test Cases'!$B$2:$B$106,"Cypress (UI)")</f>
        <v>1</v>
      </c>
      <c r="J36" s="12">
        <f>COUNTIFS('Test Cases'!$E$2:$E$106,"*"&amp;$C36&amp;"*",'Test Cases'!$B$2:$B$106,"Postman (API)")</f>
        <v>1</v>
      </c>
      <c r="K36" s="12">
        <f>COUNTIFS('Test Cases'!$E$2:$E$106,"*"&amp;$C36&amp;"*",'Test Cases'!$B$2:$B$106,"SQL (DB)")</f>
        <v>0</v>
      </c>
      <c r="L36" s="12">
        <f>COUNTIFS('Test Cases'!$E$2:$E$106,"*"&amp;$C36&amp;"*",'Test Cases'!$B$2:$B$106,"E2E")</f>
        <v>1</v>
      </c>
      <c r="M36" s="12">
        <f t="shared" si="0"/>
        <v>3</v>
      </c>
      <c r="N36" s="12" t="str">
        <f t="shared" si="1"/>
        <v>Covered</v>
      </c>
      <c r="O36" s="12">
        <f>COUNTIFS('Test Cases'!$E$2:$E$106,"*"&amp;$C36&amp;"*",'Test Cases'!$O$2:$O$106,"Pass")</f>
        <v>0</v>
      </c>
      <c r="P36" s="12">
        <f>COUNTIFS('Test Cases'!$E$2:$E$106,"*"&amp;$C36&amp;"*",'Test Cases'!$O$2:$O$106,"Fail")</f>
        <v>0</v>
      </c>
      <c r="Q36" s="12" t="str">
        <f t="shared" si="2"/>
        <v>NOT RUN</v>
      </c>
      <c r="R36" s="14"/>
      <c r="S36" s="14"/>
      <c r="T36" s="11" t="s">
        <v>925</v>
      </c>
    </row>
    <row r="37" spans="1:20" ht="26.4" x14ac:dyDescent="0.3">
      <c r="A37" s="18" t="s">
        <v>225</v>
      </c>
      <c r="B37" s="18" t="s">
        <v>921</v>
      </c>
      <c r="C37" s="11" t="s">
        <v>244</v>
      </c>
      <c r="D37" s="11" t="s">
        <v>931</v>
      </c>
      <c r="E37" s="11" t="s">
        <v>932</v>
      </c>
      <c r="F37" s="11" t="s">
        <v>930</v>
      </c>
      <c r="G37" s="11"/>
      <c r="H37" s="11"/>
      <c r="I37" s="12">
        <f>COUNTIFS('Test Cases'!$E$2:$E$106,"*"&amp;$C37&amp;"*",'Test Cases'!$B$2:$B$106,"Cypress (UI)")</f>
        <v>1</v>
      </c>
      <c r="J37" s="12">
        <f>COUNTIFS('Test Cases'!$E$2:$E$106,"*"&amp;$C37&amp;"*",'Test Cases'!$B$2:$B$106,"Postman (API)")</f>
        <v>1</v>
      </c>
      <c r="K37" s="12">
        <f>COUNTIFS('Test Cases'!$E$2:$E$106,"*"&amp;$C37&amp;"*",'Test Cases'!$B$2:$B$106,"SQL (DB)")</f>
        <v>0</v>
      </c>
      <c r="L37" s="12">
        <f>COUNTIFS('Test Cases'!$E$2:$E$106,"*"&amp;$C37&amp;"*",'Test Cases'!$B$2:$B$106,"E2E")</f>
        <v>0</v>
      </c>
      <c r="M37" s="12">
        <f t="shared" si="0"/>
        <v>2</v>
      </c>
      <c r="N37" s="12" t="str">
        <f t="shared" si="1"/>
        <v>Covered</v>
      </c>
      <c r="O37" s="12">
        <f>COUNTIFS('Test Cases'!$E$2:$E$106,"*"&amp;$C37&amp;"*",'Test Cases'!$O$2:$O$106,"Pass")</f>
        <v>0</v>
      </c>
      <c r="P37" s="12">
        <f>COUNTIFS('Test Cases'!$E$2:$E$106,"*"&amp;$C37&amp;"*",'Test Cases'!$O$2:$O$106,"Fail")</f>
        <v>0</v>
      </c>
      <c r="Q37" s="12" t="str">
        <f t="shared" si="2"/>
        <v>NOT RUN</v>
      </c>
      <c r="R37" s="14"/>
      <c r="S37" s="14"/>
      <c r="T37" s="11" t="s">
        <v>925</v>
      </c>
    </row>
    <row r="38" spans="1:20" ht="52.8" x14ac:dyDescent="0.3">
      <c r="A38" s="18" t="s">
        <v>496</v>
      </c>
      <c r="B38" s="18" t="s">
        <v>933</v>
      </c>
      <c r="C38" s="11" t="s">
        <v>654</v>
      </c>
      <c r="D38" s="11" t="s">
        <v>934</v>
      </c>
      <c r="E38" s="11"/>
      <c r="F38" s="11"/>
      <c r="G38" s="11"/>
      <c r="H38" s="11" t="s">
        <v>935</v>
      </c>
      <c r="I38" s="12">
        <f>COUNTIFS('Test Cases'!$E$2:$E$106,"*"&amp;$C38&amp;"*",'Test Cases'!$B$2:$B$106,"Cypress (UI)")</f>
        <v>0</v>
      </c>
      <c r="J38" s="12">
        <f>COUNTIFS('Test Cases'!$E$2:$E$106,"*"&amp;$C38&amp;"*",'Test Cases'!$B$2:$B$106,"Postman (API)")</f>
        <v>0</v>
      </c>
      <c r="K38" s="12">
        <f>COUNTIFS('Test Cases'!$E$2:$E$106,"*"&amp;$C38&amp;"*",'Test Cases'!$B$2:$B$106,"SQL (DB)")</f>
        <v>0</v>
      </c>
      <c r="L38" s="12">
        <f>COUNTIFS('Test Cases'!$E$2:$E$106,"*"&amp;$C38&amp;"*",'Test Cases'!$B$2:$B$106,"E2E")</f>
        <v>5</v>
      </c>
      <c r="M38" s="12">
        <f t="shared" si="0"/>
        <v>5</v>
      </c>
      <c r="N38" s="12" t="str">
        <f t="shared" si="1"/>
        <v>Covered</v>
      </c>
      <c r="O38" s="12">
        <f>COUNTIFS('Test Cases'!$E$2:$E$106,"*"&amp;$C38&amp;"*",'Test Cases'!$O$2:$O$106,"Pass")</f>
        <v>0</v>
      </c>
      <c r="P38" s="12">
        <f>COUNTIFS('Test Cases'!$E$2:$E$106,"*"&amp;$C38&amp;"*",'Test Cases'!$O$2:$O$106,"Fail")</f>
        <v>0</v>
      </c>
      <c r="Q38" s="12" t="str">
        <f t="shared" si="2"/>
        <v>NOT RUN</v>
      </c>
      <c r="R38" s="14"/>
      <c r="S38" s="14"/>
      <c r="T38" s="11" t="s">
        <v>936</v>
      </c>
    </row>
    <row r="39" spans="1:20" ht="39.6" x14ac:dyDescent="0.3">
      <c r="A39" s="18" t="s">
        <v>496</v>
      </c>
      <c r="B39" s="18" t="s">
        <v>933</v>
      </c>
      <c r="C39" s="11" t="s">
        <v>721</v>
      </c>
      <c r="D39" s="11" t="s">
        <v>937</v>
      </c>
      <c r="E39" s="11"/>
      <c r="F39" s="11"/>
      <c r="G39" s="11" t="s">
        <v>938</v>
      </c>
      <c r="H39" s="11" t="s">
        <v>939</v>
      </c>
      <c r="I39" s="12">
        <f>COUNTIFS('Test Cases'!$E$2:$E$106,"*"&amp;$C39&amp;"*",'Test Cases'!$B$2:$B$106,"Cypress (UI)")</f>
        <v>0</v>
      </c>
      <c r="J39" s="12">
        <f>COUNTIFS('Test Cases'!$E$2:$E$106,"*"&amp;$C39&amp;"*",'Test Cases'!$B$2:$B$106,"Postman (API)")</f>
        <v>0</v>
      </c>
      <c r="K39" s="12">
        <f>COUNTIFS('Test Cases'!$E$2:$E$106,"*"&amp;$C39&amp;"*",'Test Cases'!$B$2:$B$106,"SQL (DB)")</f>
        <v>2</v>
      </c>
      <c r="L39" s="12">
        <f>COUNTIFS('Test Cases'!$E$2:$E$106,"*"&amp;$C39&amp;"*",'Test Cases'!$B$2:$B$106,"E2E")</f>
        <v>4</v>
      </c>
      <c r="M39" s="12">
        <f t="shared" si="0"/>
        <v>6</v>
      </c>
      <c r="N39" s="12" t="str">
        <f t="shared" si="1"/>
        <v>Covered</v>
      </c>
      <c r="O39" s="12">
        <f>COUNTIFS('Test Cases'!$E$2:$E$106,"*"&amp;$C39&amp;"*",'Test Cases'!$O$2:$O$106,"Pass")</f>
        <v>0</v>
      </c>
      <c r="P39" s="12">
        <f>COUNTIFS('Test Cases'!$E$2:$E$106,"*"&amp;$C39&amp;"*",'Test Cases'!$O$2:$O$106,"Fail")</f>
        <v>0</v>
      </c>
      <c r="Q39" s="12" t="str">
        <f t="shared" si="2"/>
        <v>NOT RUN</v>
      </c>
      <c r="R39" s="14"/>
      <c r="S39" s="14"/>
      <c r="T39" s="11" t="s">
        <v>936</v>
      </c>
    </row>
    <row r="40" spans="1:20" ht="26.4" x14ac:dyDescent="0.3">
      <c r="A40" s="18" t="s">
        <v>496</v>
      </c>
      <c r="B40" s="18" t="s">
        <v>933</v>
      </c>
      <c r="C40" s="11" t="s">
        <v>602</v>
      </c>
      <c r="D40" s="11" t="s">
        <v>940</v>
      </c>
      <c r="E40" s="11"/>
      <c r="F40" s="11"/>
      <c r="G40" s="11" t="s">
        <v>941</v>
      </c>
      <c r="H40" s="11" t="s">
        <v>942</v>
      </c>
      <c r="I40" s="12">
        <f>COUNTIFS('Test Cases'!$E$2:$E$106,"*"&amp;$C40&amp;"*",'Test Cases'!$B$2:$B$106,"Cypress (UI)")</f>
        <v>0</v>
      </c>
      <c r="J40" s="12">
        <f>COUNTIFS('Test Cases'!$E$2:$E$106,"*"&amp;$C40&amp;"*",'Test Cases'!$B$2:$B$106,"Postman (API)")</f>
        <v>0</v>
      </c>
      <c r="K40" s="12">
        <f>COUNTIFS('Test Cases'!$E$2:$E$106,"*"&amp;$C40&amp;"*",'Test Cases'!$B$2:$B$106,"SQL (DB)")</f>
        <v>2</v>
      </c>
      <c r="L40" s="12">
        <f>COUNTIFS('Test Cases'!$E$2:$E$106,"*"&amp;$C40&amp;"*",'Test Cases'!$B$2:$B$106,"E2E")</f>
        <v>2</v>
      </c>
      <c r="M40" s="12">
        <f t="shared" si="0"/>
        <v>4</v>
      </c>
      <c r="N40" s="12" t="str">
        <f t="shared" si="1"/>
        <v>Covered</v>
      </c>
      <c r="O40" s="12">
        <f>COUNTIFS('Test Cases'!$E$2:$E$106,"*"&amp;$C40&amp;"*",'Test Cases'!$O$2:$O$106,"Pass")</f>
        <v>0</v>
      </c>
      <c r="P40" s="12">
        <f>COUNTIFS('Test Cases'!$E$2:$E$106,"*"&amp;$C40&amp;"*",'Test Cases'!$O$2:$O$106,"Fail")</f>
        <v>0</v>
      </c>
      <c r="Q40" s="12" t="str">
        <f t="shared" si="2"/>
        <v>NOT RUN</v>
      </c>
      <c r="R40" s="14"/>
      <c r="S40" s="14"/>
      <c r="T40" s="11" t="s">
        <v>936</v>
      </c>
    </row>
    <row r="41" spans="1:20" ht="39.6" x14ac:dyDescent="0.3">
      <c r="A41" s="18" t="s">
        <v>496</v>
      </c>
      <c r="B41" s="18" t="s">
        <v>933</v>
      </c>
      <c r="C41" s="11" t="s">
        <v>680</v>
      </c>
      <c r="D41" s="11" t="s">
        <v>943</v>
      </c>
      <c r="E41" s="11"/>
      <c r="F41" s="11"/>
      <c r="G41" s="11" t="s">
        <v>944</v>
      </c>
      <c r="H41" s="11" t="s">
        <v>945</v>
      </c>
      <c r="I41" s="12">
        <f>COUNTIFS('Test Cases'!$E$2:$E$106,"*"&amp;$C41&amp;"*",'Test Cases'!$B$2:$B$106,"Cypress (UI)")</f>
        <v>0</v>
      </c>
      <c r="J41" s="12">
        <f>COUNTIFS('Test Cases'!$E$2:$E$106,"*"&amp;$C41&amp;"*",'Test Cases'!$B$2:$B$106,"Postman (API)")</f>
        <v>0</v>
      </c>
      <c r="K41" s="12">
        <f>COUNTIFS('Test Cases'!$E$2:$E$106,"*"&amp;$C41&amp;"*",'Test Cases'!$B$2:$B$106,"SQL (DB)")</f>
        <v>3</v>
      </c>
      <c r="L41" s="12">
        <f>COUNTIFS('Test Cases'!$E$2:$E$106,"*"&amp;$C41&amp;"*",'Test Cases'!$B$2:$B$106,"E2E")</f>
        <v>4</v>
      </c>
      <c r="M41" s="12">
        <f t="shared" si="0"/>
        <v>7</v>
      </c>
      <c r="N41" s="12" t="str">
        <f t="shared" si="1"/>
        <v>Covered</v>
      </c>
      <c r="O41" s="12">
        <f>COUNTIFS('Test Cases'!$E$2:$E$106,"*"&amp;$C41&amp;"*",'Test Cases'!$O$2:$O$106,"Pass")</f>
        <v>0</v>
      </c>
      <c r="P41" s="12">
        <f>COUNTIFS('Test Cases'!$E$2:$E$106,"*"&amp;$C41&amp;"*",'Test Cases'!$O$2:$O$106,"Fail")</f>
        <v>0</v>
      </c>
      <c r="Q41" s="12" t="str">
        <f t="shared" si="2"/>
        <v>NOT RUN</v>
      </c>
      <c r="R41" s="14"/>
      <c r="S41" s="14"/>
      <c r="T41" s="11" t="s">
        <v>936</v>
      </c>
    </row>
  </sheetData>
  <autoFilter ref="A4:T41" xr:uid="{00000000-0009-0000-0000-000003000000}"/>
  <conditionalFormatting sqref="N5:N41">
    <cfRule type="cellIs" dxfId="7" priority="2" operator="equal">
      <formula>"NOT COVERED"</formula>
    </cfRule>
    <cfRule type="cellIs" dxfId="6" priority="3" operator="equal">
      <formula>"Covered"</formula>
    </cfRule>
  </conditionalFormatting>
  <conditionalFormatting sqref="Q5:Q41">
    <cfRule type="cellIs" dxfId="5" priority="4" operator="equal">
      <formula>"PASS"</formula>
    </cfRule>
    <cfRule type="cellIs" dxfId="4" priority="5" operator="equal">
      <formula>"FAIL"</formula>
    </cfRule>
    <cfRule type="cellIs" dxfId="3" priority="6" operator="equal">
      <formula>"IN PROGRESS"</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8F00"/>
  </sheetPr>
  <dimension ref="A1:I60"/>
  <sheetViews>
    <sheetView showGridLines="0" zoomScaleNormal="100" workbookViewId="0"/>
  </sheetViews>
  <sheetFormatPr defaultColWidth="8.6640625" defaultRowHeight="14.4" x14ac:dyDescent="0.3"/>
  <cols>
    <col min="1" max="1" width="30" customWidth="1"/>
    <col min="2" max="2" width="26" customWidth="1"/>
    <col min="3" max="8" width="11" customWidth="1"/>
    <col min="9" max="9" width="14" customWidth="1"/>
  </cols>
  <sheetData>
    <row r="1" spans="1:9" ht="17.399999999999999" x14ac:dyDescent="0.3">
      <c r="A1" s="1" t="s">
        <v>946</v>
      </c>
    </row>
    <row r="2" spans="1:9" x14ac:dyDescent="0.3">
      <c r="A2" s="2" t="s">
        <v>947</v>
      </c>
    </row>
    <row r="4" spans="1:9" x14ac:dyDescent="0.3">
      <c r="A4" s="19" t="s">
        <v>948</v>
      </c>
    </row>
    <row r="5" spans="1:9" ht="30" customHeight="1" x14ac:dyDescent="0.3">
      <c r="A5" s="7" t="s">
        <v>49</v>
      </c>
      <c r="B5" s="7"/>
      <c r="C5" s="7" t="s">
        <v>949</v>
      </c>
      <c r="D5" s="7" t="s">
        <v>76</v>
      </c>
      <c r="E5" s="7" t="s">
        <v>950</v>
      </c>
      <c r="F5" s="7" t="s">
        <v>806</v>
      </c>
      <c r="G5" s="7" t="s">
        <v>807</v>
      </c>
      <c r="H5" s="7" t="s">
        <v>951</v>
      </c>
      <c r="I5" s="7" t="s">
        <v>952</v>
      </c>
    </row>
    <row r="6" spans="1:9" x14ac:dyDescent="0.3">
      <c r="A6" s="20" t="s">
        <v>64</v>
      </c>
      <c r="B6" s="20"/>
      <c r="C6" s="21">
        <v>40</v>
      </c>
      <c r="D6" s="12">
        <f>COUNTIF('Test Cases'!$B$2:$B$106,A6)</f>
        <v>40</v>
      </c>
      <c r="E6" s="12">
        <f>D6-C6</f>
        <v>0</v>
      </c>
      <c r="F6" s="12">
        <f>COUNTIFS('Test Cases'!$B$2:$B$106,A6,'Test Cases'!$O$2:$O$106,"Pass")</f>
        <v>0</v>
      </c>
      <c r="G6" s="12">
        <f>COUNTIFS('Test Cases'!$B$2:$B$106,A6,'Test Cases'!$O$2:$O$106,"Fail")</f>
        <v>0</v>
      </c>
      <c r="H6" s="22" t="str">
        <f>IF(F6+G6=0,"-",F6/(F6+G6))</f>
        <v>-</v>
      </c>
      <c r="I6" s="23">
        <v>0.9</v>
      </c>
    </row>
    <row r="7" spans="1:9" x14ac:dyDescent="0.3">
      <c r="A7" s="20" t="s">
        <v>300</v>
      </c>
      <c r="B7" s="20"/>
      <c r="C7" s="21">
        <v>40</v>
      </c>
      <c r="D7" s="12">
        <f>COUNTIF('Test Cases'!$B$2:$B$106,A7)</f>
        <v>40</v>
      </c>
      <c r="E7" s="12">
        <f>D7-C7</f>
        <v>0</v>
      </c>
      <c r="F7" s="12">
        <f>COUNTIFS('Test Cases'!$B$2:$B$106,A7,'Test Cases'!$O$2:$O$106,"Pass")</f>
        <v>0</v>
      </c>
      <c r="G7" s="12">
        <f>COUNTIFS('Test Cases'!$B$2:$B$106,A7,'Test Cases'!$O$2:$O$106,"Fail")</f>
        <v>0</v>
      </c>
      <c r="H7" s="22" t="str">
        <f>IF(F7+G7=0,"-",F7/(F7+G7))</f>
        <v>-</v>
      </c>
      <c r="I7" s="23">
        <v>1</v>
      </c>
    </row>
    <row r="8" spans="1:9" x14ac:dyDescent="0.3">
      <c r="A8" s="20" t="s">
        <v>494</v>
      </c>
      <c r="B8" s="20"/>
      <c r="C8" s="21">
        <v>20</v>
      </c>
      <c r="D8" s="12">
        <f>COUNTIF('Test Cases'!$B$2:$B$106,A8)</f>
        <v>20</v>
      </c>
      <c r="E8" s="12">
        <f>D8-C8</f>
        <v>0</v>
      </c>
      <c r="F8" s="12">
        <f>COUNTIFS('Test Cases'!$B$2:$B$106,A8,'Test Cases'!$O$2:$O$106,"Pass")</f>
        <v>0</v>
      </c>
      <c r="G8" s="12">
        <f>COUNTIFS('Test Cases'!$B$2:$B$106,A8,'Test Cases'!$O$2:$O$106,"Fail")</f>
        <v>0</v>
      </c>
      <c r="H8" s="22" t="str">
        <f>IF(F8+G8=0,"-",F8/(F8+G8))</f>
        <v>-</v>
      </c>
      <c r="I8" s="23">
        <v>1</v>
      </c>
    </row>
    <row r="9" spans="1:9" x14ac:dyDescent="0.3">
      <c r="A9" s="20" t="s">
        <v>607</v>
      </c>
      <c r="B9" s="20"/>
      <c r="C9" s="21">
        <v>5</v>
      </c>
      <c r="D9" s="12">
        <f>COUNTIF('Test Cases'!$B$2:$B$106,A9)</f>
        <v>5</v>
      </c>
      <c r="E9" s="12">
        <f>D9-C9</f>
        <v>0</v>
      </c>
      <c r="F9" s="12">
        <f>COUNTIFS('Test Cases'!$B$2:$B$106,A9,'Test Cases'!$O$2:$O$106,"Pass")</f>
        <v>0</v>
      </c>
      <c r="G9" s="12">
        <f>COUNTIFS('Test Cases'!$B$2:$B$106,A9,'Test Cases'!$O$2:$O$106,"Fail")</f>
        <v>0</v>
      </c>
      <c r="H9" s="22" t="str">
        <f>IF(F9+G9=0,"-",F9/(F9+G9))</f>
        <v>-</v>
      </c>
      <c r="I9" s="23">
        <v>1</v>
      </c>
    </row>
    <row r="10" spans="1:9" x14ac:dyDescent="0.3">
      <c r="A10" s="24" t="s">
        <v>953</v>
      </c>
      <c r="B10" s="24"/>
      <c r="C10" s="25">
        <f>SUM(C6:C8)</f>
        <v>100</v>
      </c>
      <c r="D10" s="25">
        <f>SUM(D6:D8)</f>
        <v>100</v>
      </c>
      <c r="E10" s="25">
        <f>D10-C10</f>
        <v>0</v>
      </c>
      <c r="F10" s="25">
        <f>SUM(F6:F8)</f>
        <v>0</v>
      </c>
      <c r="G10" s="25">
        <f>SUM(G6:G8)</f>
        <v>0</v>
      </c>
      <c r="H10" s="26" t="str">
        <f>IF(F10+G10=0,"-",F10/(F10+G10))</f>
        <v>-</v>
      </c>
      <c r="I10" s="27">
        <v>0.9</v>
      </c>
    </row>
    <row r="13" spans="1:9" x14ac:dyDescent="0.3">
      <c r="A13" s="19" t="s">
        <v>954</v>
      </c>
    </row>
    <row r="14" spans="1:9" ht="30" customHeight="1" x14ac:dyDescent="0.3">
      <c r="A14" s="7" t="s">
        <v>50</v>
      </c>
      <c r="B14" s="7" t="s">
        <v>49</v>
      </c>
      <c r="C14" s="7" t="s">
        <v>949</v>
      </c>
      <c r="D14" s="7" t="s">
        <v>76</v>
      </c>
      <c r="E14" s="7" t="s">
        <v>950</v>
      </c>
      <c r="F14" s="7" t="s">
        <v>806</v>
      </c>
      <c r="G14" s="7" t="s">
        <v>807</v>
      </c>
      <c r="H14" s="7" t="s">
        <v>951</v>
      </c>
      <c r="I14" s="7" t="s">
        <v>53</v>
      </c>
    </row>
    <row r="15" spans="1:9" x14ac:dyDescent="0.3">
      <c r="A15" s="20" t="s">
        <v>65</v>
      </c>
      <c r="B15" s="20" t="s">
        <v>64</v>
      </c>
      <c r="C15" s="21">
        <v>4</v>
      </c>
      <c r="D15" s="12">
        <f>COUNTIFS('Test Cases'!$C$2:$C$106,A15,'Test Cases'!$B$2:$B$106,B15)</f>
        <v>4</v>
      </c>
      <c r="E15" s="12">
        <f t="shared" ref="E15:E33" si="0">D15-C15</f>
        <v>0</v>
      </c>
      <c r="F15" s="12">
        <f>COUNTIFS('Test Cases'!$C$2:$C$106,A15,'Test Cases'!$B$2:$B$106,B15,'Test Cases'!$O$2:$O$106,"Pass")</f>
        <v>0</v>
      </c>
      <c r="G15" s="12">
        <f>COUNTIFS('Test Cases'!$C$2:$C$106,A15,'Test Cases'!$B$2:$B$106,B15,'Test Cases'!$O$2:$O$106,"Fail")</f>
        <v>0</v>
      </c>
      <c r="H15" s="22" t="str">
        <f t="shared" ref="H15:H33" si="1">IF(F15+G15=0,"-",F15/(F15+G15))</f>
        <v>-</v>
      </c>
      <c r="I15" s="12" t="s">
        <v>68</v>
      </c>
    </row>
    <row r="16" spans="1:9" x14ac:dyDescent="0.3">
      <c r="A16" s="20" t="s">
        <v>98</v>
      </c>
      <c r="B16" s="20" t="s">
        <v>64</v>
      </c>
      <c r="C16" s="21">
        <v>10</v>
      </c>
      <c r="D16" s="12">
        <f>COUNTIFS('Test Cases'!$C$2:$C$106,A16,'Test Cases'!$B$2:$B$106,B16)</f>
        <v>10</v>
      </c>
      <c r="E16" s="12">
        <f t="shared" si="0"/>
        <v>0</v>
      </c>
      <c r="F16" s="12">
        <f>COUNTIFS('Test Cases'!$C$2:$C$106,A16,'Test Cases'!$B$2:$B$106,B16,'Test Cases'!$O$2:$O$106,"Pass")</f>
        <v>0</v>
      </c>
      <c r="G16" s="12">
        <f>COUNTIFS('Test Cases'!$C$2:$C$106,A16,'Test Cases'!$B$2:$B$106,B16,'Test Cases'!$O$2:$O$106,"Fail")</f>
        <v>0</v>
      </c>
      <c r="H16" s="22" t="str">
        <f t="shared" si="1"/>
        <v>-</v>
      </c>
      <c r="I16" s="12" t="s">
        <v>68</v>
      </c>
    </row>
    <row r="17" spans="1:9" x14ac:dyDescent="0.3">
      <c r="A17" s="20" t="s">
        <v>155</v>
      </c>
      <c r="B17" s="20" t="s">
        <v>64</v>
      </c>
      <c r="C17" s="21">
        <v>6</v>
      </c>
      <c r="D17" s="12">
        <f>COUNTIFS('Test Cases'!$C$2:$C$106,A17,'Test Cases'!$B$2:$B$106,B17)</f>
        <v>6</v>
      </c>
      <c r="E17" s="12">
        <f t="shared" si="0"/>
        <v>0</v>
      </c>
      <c r="F17" s="12">
        <f>COUNTIFS('Test Cases'!$C$2:$C$106,A17,'Test Cases'!$B$2:$B$106,B17,'Test Cases'!$O$2:$O$106,"Pass")</f>
        <v>0</v>
      </c>
      <c r="G17" s="12">
        <f>COUNTIFS('Test Cases'!$C$2:$C$106,A17,'Test Cases'!$B$2:$B$106,B17,'Test Cases'!$O$2:$O$106,"Fail")</f>
        <v>0</v>
      </c>
      <c r="H17" s="22" t="str">
        <f t="shared" si="1"/>
        <v>-</v>
      </c>
      <c r="I17" s="12" t="s">
        <v>68</v>
      </c>
    </row>
    <row r="18" spans="1:9" x14ac:dyDescent="0.3">
      <c r="A18" s="20" t="s">
        <v>191</v>
      </c>
      <c r="B18" s="20" t="s">
        <v>64</v>
      </c>
      <c r="C18" s="21">
        <v>6</v>
      </c>
      <c r="D18" s="12">
        <f>COUNTIFS('Test Cases'!$C$2:$C$106,A18,'Test Cases'!$B$2:$B$106,B18)</f>
        <v>6</v>
      </c>
      <c r="E18" s="12">
        <f t="shared" si="0"/>
        <v>0</v>
      </c>
      <c r="F18" s="12">
        <f>COUNTIFS('Test Cases'!$C$2:$C$106,A18,'Test Cases'!$B$2:$B$106,B18,'Test Cases'!$O$2:$O$106,"Pass")</f>
        <v>0</v>
      </c>
      <c r="G18" s="12">
        <f>COUNTIFS('Test Cases'!$C$2:$C$106,A18,'Test Cases'!$B$2:$B$106,B18,'Test Cases'!$O$2:$O$106,"Fail")</f>
        <v>0</v>
      </c>
      <c r="H18" s="22" t="str">
        <f t="shared" si="1"/>
        <v>-</v>
      </c>
      <c r="I18" s="12" t="s">
        <v>68</v>
      </c>
    </row>
    <row r="19" spans="1:9" x14ac:dyDescent="0.3">
      <c r="A19" s="20" t="s">
        <v>224</v>
      </c>
      <c r="B19" s="20" t="s">
        <v>64</v>
      </c>
      <c r="C19" s="21">
        <v>4</v>
      </c>
      <c r="D19" s="12">
        <f>COUNTIFS('Test Cases'!$C$2:$C$106,A19,'Test Cases'!$B$2:$B$106,B19)</f>
        <v>4</v>
      </c>
      <c r="E19" s="12">
        <f t="shared" si="0"/>
        <v>0</v>
      </c>
      <c r="F19" s="12">
        <f>COUNTIFS('Test Cases'!$C$2:$C$106,A19,'Test Cases'!$B$2:$B$106,B19,'Test Cases'!$O$2:$O$106,"Pass")</f>
        <v>0</v>
      </c>
      <c r="G19" s="12">
        <f>COUNTIFS('Test Cases'!$C$2:$C$106,A19,'Test Cases'!$B$2:$B$106,B19,'Test Cases'!$O$2:$O$106,"Fail")</f>
        <v>0</v>
      </c>
      <c r="H19" s="22" t="str">
        <f t="shared" si="1"/>
        <v>-</v>
      </c>
      <c r="I19" s="12" t="s">
        <v>227</v>
      </c>
    </row>
    <row r="20" spans="1:9" x14ac:dyDescent="0.3">
      <c r="A20" s="20" t="s">
        <v>249</v>
      </c>
      <c r="B20" s="20" t="s">
        <v>64</v>
      </c>
      <c r="C20" s="21">
        <v>4</v>
      </c>
      <c r="D20" s="12">
        <f>COUNTIFS('Test Cases'!$C$2:$C$106,A20,'Test Cases'!$B$2:$B$106,B20)</f>
        <v>4</v>
      </c>
      <c r="E20" s="12">
        <f t="shared" si="0"/>
        <v>0</v>
      </c>
      <c r="F20" s="12">
        <f>COUNTIFS('Test Cases'!$C$2:$C$106,A20,'Test Cases'!$B$2:$B$106,B20,'Test Cases'!$O$2:$O$106,"Pass")</f>
        <v>0</v>
      </c>
      <c r="G20" s="12">
        <f>COUNTIFS('Test Cases'!$C$2:$C$106,A20,'Test Cases'!$B$2:$B$106,B20,'Test Cases'!$O$2:$O$106,"Fail")</f>
        <v>0</v>
      </c>
      <c r="H20" s="22" t="str">
        <f t="shared" si="1"/>
        <v>-</v>
      </c>
      <c r="I20" s="12" t="s">
        <v>227</v>
      </c>
    </row>
    <row r="21" spans="1:9" x14ac:dyDescent="0.3">
      <c r="A21" s="20" t="s">
        <v>272</v>
      </c>
      <c r="B21" s="20" t="s">
        <v>64</v>
      </c>
      <c r="C21" s="21">
        <v>6</v>
      </c>
      <c r="D21" s="12">
        <f>COUNTIFS('Test Cases'!$C$2:$C$106,A21,'Test Cases'!$B$2:$B$106,B21)</f>
        <v>6</v>
      </c>
      <c r="E21" s="12">
        <f t="shared" si="0"/>
        <v>0</v>
      </c>
      <c r="F21" s="12">
        <f>COUNTIFS('Test Cases'!$C$2:$C$106,A21,'Test Cases'!$B$2:$B$106,B21,'Test Cases'!$O$2:$O$106,"Pass")</f>
        <v>0</v>
      </c>
      <c r="G21" s="12">
        <f>COUNTIFS('Test Cases'!$C$2:$C$106,A21,'Test Cases'!$B$2:$B$106,B21,'Test Cases'!$O$2:$O$106,"Fail")</f>
        <v>0</v>
      </c>
      <c r="H21" s="22" t="str">
        <f t="shared" si="1"/>
        <v>-</v>
      </c>
      <c r="I21" s="12" t="s">
        <v>274</v>
      </c>
    </row>
    <row r="22" spans="1:9" x14ac:dyDescent="0.3">
      <c r="A22" s="20" t="s">
        <v>301</v>
      </c>
      <c r="B22" s="20" t="s">
        <v>300</v>
      </c>
      <c r="C22" s="21">
        <v>4</v>
      </c>
      <c r="D22" s="12">
        <f>COUNTIFS('Test Cases'!$C$2:$C$106,A22,'Test Cases'!$B$2:$B$106,B22)</f>
        <v>4</v>
      </c>
      <c r="E22" s="12">
        <f t="shared" si="0"/>
        <v>0</v>
      </c>
      <c r="F22" s="12">
        <f>COUNTIFS('Test Cases'!$C$2:$C$106,A22,'Test Cases'!$B$2:$B$106,B22,'Test Cases'!$O$2:$O$106,"Pass")</f>
        <v>0</v>
      </c>
      <c r="G22" s="12">
        <f>COUNTIFS('Test Cases'!$C$2:$C$106,A22,'Test Cases'!$B$2:$B$106,B22,'Test Cases'!$O$2:$O$106,"Fail")</f>
        <v>0</v>
      </c>
      <c r="H22" s="22" t="str">
        <f t="shared" si="1"/>
        <v>-</v>
      </c>
      <c r="I22" s="12" t="s">
        <v>68</v>
      </c>
    </row>
    <row r="23" spans="1:9" x14ac:dyDescent="0.3">
      <c r="A23" s="20" t="s">
        <v>326</v>
      </c>
      <c r="B23" s="20" t="s">
        <v>300</v>
      </c>
      <c r="C23" s="21">
        <v>10</v>
      </c>
      <c r="D23" s="12">
        <f>COUNTIFS('Test Cases'!$C$2:$C$106,A23,'Test Cases'!$B$2:$B$106,B23)</f>
        <v>10</v>
      </c>
      <c r="E23" s="12">
        <f t="shared" si="0"/>
        <v>0</v>
      </c>
      <c r="F23" s="12">
        <f>COUNTIFS('Test Cases'!$C$2:$C$106,A23,'Test Cases'!$B$2:$B$106,B23,'Test Cases'!$O$2:$O$106,"Pass")</f>
        <v>0</v>
      </c>
      <c r="G23" s="12">
        <f>COUNTIFS('Test Cases'!$C$2:$C$106,A23,'Test Cases'!$B$2:$B$106,B23,'Test Cases'!$O$2:$O$106,"Fail")</f>
        <v>0</v>
      </c>
      <c r="H23" s="22" t="str">
        <f t="shared" si="1"/>
        <v>-</v>
      </c>
      <c r="I23" s="12" t="s">
        <v>68</v>
      </c>
    </row>
    <row r="24" spans="1:9" x14ac:dyDescent="0.3">
      <c r="A24" s="20" t="s">
        <v>370</v>
      </c>
      <c r="B24" s="20" t="s">
        <v>300</v>
      </c>
      <c r="C24" s="21">
        <v>8</v>
      </c>
      <c r="D24" s="12">
        <f>COUNTIFS('Test Cases'!$C$2:$C$106,A24,'Test Cases'!$B$2:$B$106,B24)</f>
        <v>8</v>
      </c>
      <c r="E24" s="12">
        <f t="shared" si="0"/>
        <v>0</v>
      </c>
      <c r="F24" s="12">
        <f>COUNTIFS('Test Cases'!$C$2:$C$106,A24,'Test Cases'!$B$2:$B$106,B24,'Test Cases'!$O$2:$O$106,"Pass")</f>
        <v>0</v>
      </c>
      <c r="G24" s="12">
        <f>COUNTIFS('Test Cases'!$C$2:$C$106,A24,'Test Cases'!$B$2:$B$106,B24,'Test Cases'!$O$2:$O$106,"Fail")</f>
        <v>0</v>
      </c>
      <c r="H24" s="22" t="str">
        <f t="shared" si="1"/>
        <v>-</v>
      </c>
      <c r="I24" s="12" t="s">
        <v>68</v>
      </c>
    </row>
    <row r="25" spans="1:9" x14ac:dyDescent="0.3">
      <c r="A25" s="20" t="s">
        <v>406</v>
      </c>
      <c r="B25" s="20" t="s">
        <v>300</v>
      </c>
      <c r="C25" s="21">
        <v>6</v>
      </c>
      <c r="D25" s="12">
        <f>COUNTIFS('Test Cases'!$C$2:$C$106,A25,'Test Cases'!$B$2:$B$106,B25)</f>
        <v>6</v>
      </c>
      <c r="E25" s="12">
        <f t="shared" si="0"/>
        <v>0</v>
      </c>
      <c r="F25" s="12">
        <f>COUNTIFS('Test Cases'!$C$2:$C$106,A25,'Test Cases'!$B$2:$B$106,B25,'Test Cases'!$O$2:$O$106,"Pass")</f>
        <v>0</v>
      </c>
      <c r="G25" s="12">
        <f>COUNTIFS('Test Cases'!$C$2:$C$106,A25,'Test Cases'!$B$2:$B$106,B25,'Test Cases'!$O$2:$O$106,"Fail")</f>
        <v>0</v>
      </c>
      <c r="H25" s="22" t="str">
        <f t="shared" si="1"/>
        <v>-</v>
      </c>
      <c r="I25" s="12" t="s">
        <v>68</v>
      </c>
    </row>
    <row r="26" spans="1:9" x14ac:dyDescent="0.3">
      <c r="A26" s="20" t="s">
        <v>434</v>
      </c>
      <c r="B26" s="20" t="s">
        <v>300</v>
      </c>
      <c r="C26" s="21">
        <v>4</v>
      </c>
      <c r="D26" s="12">
        <f>COUNTIFS('Test Cases'!$C$2:$C$106,A26,'Test Cases'!$B$2:$B$106,B26)</f>
        <v>4</v>
      </c>
      <c r="E26" s="12">
        <f t="shared" si="0"/>
        <v>0</v>
      </c>
      <c r="F26" s="12">
        <f>COUNTIFS('Test Cases'!$C$2:$C$106,A26,'Test Cases'!$B$2:$B$106,B26,'Test Cases'!$O$2:$O$106,"Pass")</f>
        <v>0</v>
      </c>
      <c r="G26" s="12">
        <f>COUNTIFS('Test Cases'!$C$2:$C$106,A26,'Test Cases'!$B$2:$B$106,B26,'Test Cases'!$O$2:$O$106,"Fail")</f>
        <v>0</v>
      </c>
      <c r="H26" s="22" t="str">
        <f t="shared" si="1"/>
        <v>-</v>
      </c>
      <c r="I26" s="12" t="s">
        <v>68</v>
      </c>
    </row>
    <row r="27" spans="1:9" x14ac:dyDescent="0.3">
      <c r="A27" s="20" t="s">
        <v>453</v>
      </c>
      <c r="B27" s="20" t="s">
        <v>300</v>
      </c>
      <c r="C27" s="21">
        <v>4</v>
      </c>
      <c r="D27" s="12">
        <f>COUNTIFS('Test Cases'!$C$2:$C$106,A27,'Test Cases'!$B$2:$B$106,B27)</f>
        <v>4</v>
      </c>
      <c r="E27" s="12">
        <f t="shared" si="0"/>
        <v>0</v>
      </c>
      <c r="F27" s="12">
        <f>COUNTIFS('Test Cases'!$C$2:$C$106,A27,'Test Cases'!$B$2:$B$106,B27,'Test Cases'!$O$2:$O$106,"Pass")</f>
        <v>0</v>
      </c>
      <c r="G27" s="12">
        <f>COUNTIFS('Test Cases'!$C$2:$C$106,A27,'Test Cases'!$B$2:$B$106,B27,'Test Cases'!$O$2:$O$106,"Fail")</f>
        <v>0</v>
      </c>
      <c r="H27" s="22" t="str">
        <f t="shared" si="1"/>
        <v>-</v>
      </c>
      <c r="I27" s="12" t="s">
        <v>227</v>
      </c>
    </row>
    <row r="28" spans="1:9" x14ac:dyDescent="0.3">
      <c r="A28" s="20" t="s">
        <v>474</v>
      </c>
      <c r="B28" s="20" t="s">
        <v>300</v>
      </c>
      <c r="C28" s="21">
        <v>4</v>
      </c>
      <c r="D28" s="12">
        <f>COUNTIFS('Test Cases'!$C$2:$C$106,A28,'Test Cases'!$B$2:$B$106,B28)</f>
        <v>4</v>
      </c>
      <c r="E28" s="12">
        <f t="shared" si="0"/>
        <v>0</v>
      </c>
      <c r="F28" s="12">
        <f>COUNTIFS('Test Cases'!$C$2:$C$106,A28,'Test Cases'!$B$2:$B$106,B28,'Test Cases'!$O$2:$O$106,"Pass")</f>
        <v>0</v>
      </c>
      <c r="G28" s="12">
        <f>COUNTIFS('Test Cases'!$C$2:$C$106,A28,'Test Cases'!$B$2:$B$106,B28,'Test Cases'!$O$2:$O$106,"Fail")</f>
        <v>0</v>
      </c>
      <c r="H28" s="22" t="str">
        <f t="shared" si="1"/>
        <v>-</v>
      </c>
      <c r="I28" s="12" t="s">
        <v>68</v>
      </c>
    </row>
    <row r="29" spans="1:9" x14ac:dyDescent="0.3">
      <c r="A29" s="20" t="s">
        <v>495</v>
      </c>
      <c r="B29" s="20" t="s">
        <v>494</v>
      </c>
      <c r="C29" s="21">
        <v>4</v>
      </c>
      <c r="D29" s="12">
        <f>COUNTIFS('Test Cases'!$C$2:$C$106,A29,'Test Cases'!$B$2:$B$106,B29)</f>
        <v>4</v>
      </c>
      <c r="E29" s="12">
        <f t="shared" si="0"/>
        <v>0</v>
      </c>
      <c r="F29" s="12">
        <f>COUNTIFS('Test Cases'!$C$2:$C$106,A29,'Test Cases'!$B$2:$B$106,B29,'Test Cases'!$O$2:$O$106,"Pass")</f>
        <v>0</v>
      </c>
      <c r="G29" s="12">
        <f>COUNTIFS('Test Cases'!$C$2:$C$106,A29,'Test Cases'!$B$2:$B$106,B29,'Test Cases'!$O$2:$O$106,"Fail")</f>
        <v>0</v>
      </c>
      <c r="H29" s="22" t="str">
        <f t="shared" si="1"/>
        <v>-</v>
      </c>
      <c r="I29" s="12" t="s">
        <v>68</v>
      </c>
    </row>
    <row r="30" spans="1:9" x14ac:dyDescent="0.3">
      <c r="A30" s="20" t="s">
        <v>523</v>
      </c>
      <c r="B30" s="20" t="s">
        <v>494</v>
      </c>
      <c r="C30" s="21">
        <v>4</v>
      </c>
      <c r="D30" s="12">
        <f>COUNTIFS('Test Cases'!$C$2:$C$106,A30,'Test Cases'!$B$2:$B$106,B30)</f>
        <v>4</v>
      </c>
      <c r="E30" s="12">
        <f t="shared" si="0"/>
        <v>0</v>
      </c>
      <c r="F30" s="12">
        <f>COUNTIFS('Test Cases'!$C$2:$C$106,A30,'Test Cases'!$B$2:$B$106,B30,'Test Cases'!$O$2:$O$106,"Pass")</f>
        <v>0</v>
      </c>
      <c r="G30" s="12">
        <f>COUNTIFS('Test Cases'!$C$2:$C$106,A30,'Test Cases'!$B$2:$B$106,B30,'Test Cases'!$O$2:$O$106,"Fail")</f>
        <v>0</v>
      </c>
      <c r="H30" s="22" t="str">
        <f t="shared" si="1"/>
        <v>-</v>
      </c>
      <c r="I30" s="12" t="s">
        <v>68</v>
      </c>
    </row>
    <row r="31" spans="1:9" x14ac:dyDescent="0.3">
      <c r="A31" s="20" t="s">
        <v>543</v>
      </c>
      <c r="B31" s="20" t="s">
        <v>494</v>
      </c>
      <c r="C31" s="21">
        <v>4</v>
      </c>
      <c r="D31" s="12">
        <f>COUNTIFS('Test Cases'!$C$2:$C$106,A31,'Test Cases'!$B$2:$B$106,B31)</f>
        <v>4</v>
      </c>
      <c r="E31" s="12">
        <f t="shared" si="0"/>
        <v>0</v>
      </c>
      <c r="F31" s="12">
        <f>COUNTIFS('Test Cases'!$C$2:$C$106,A31,'Test Cases'!$B$2:$B$106,B31,'Test Cases'!$O$2:$O$106,"Pass")</f>
        <v>0</v>
      </c>
      <c r="G31" s="12">
        <f>COUNTIFS('Test Cases'!$C$2:$C$106,A31,'Test Cases'!$B$2:$B$106,B31,'Test Cases'!$O$2:$O$106,"Fail")</f>
        <v>0</v>
      </c>
      <c r="H31" s="22" t="str">
        <f t="shared" si="1"/>
        <v>-</v>
      </c>
      <c r="I31" s="12" t="s">
        <v>68</v>
      </c>
    </row>
    <row r="32" spans="1:9" x14ac:dyDescent="0.3">
      <c r="A32" s="20" t="s">
        <v>561</v>
      </c>
      <c r="B32" s="20" t="s">
        <v>494</v>
      </c>
      <c r="C32" s="21">
        <v>4</v>
      </c>
      <c r="D32" s="12">
        <f>COUNTIFS('Test Cases'!$C$2:$C$106,A32,'Test Cases'!$B$2:$B$106,B32)</f>
        <v>4</v>
      </c>
      <c r="E32" s="12">
        <f t="shared" si="0"/>
        <v>0</v>
      </c>
      <c r="F32" s="12">
        <f>COUNTIFS('Test Cases'!$C$2:$C$106,A32,'Test Cases'!$B$2:$B$106,B32,'Test Cases'!$O$2:$O$106,"Pass")</f>
        <v>0</v>
      </c>
      <c r="G32" s="12">
        <f>COUNTIFS('Test Cases'!$C$2:$C$106,A32,'Test Cases'!$B$2:$B$106,B32,'Test Cases'!$O$2:$O$106,"Fail")</f>
        <v>0</v>
      </c>
      <c r="H32" s="22" t="str">
        <f t="shared" si="1"/>
        <v>-</v>
      </c>
      <c r="I32" s="12" t="s">
        <v>68</v>
      </c>
    </row>
    <row r="33" spans="1:9" x14ac:dyDescent="0.3">
      <c r="A33" s="20" t="s">
        <v>585</v>
      </c>
      <c r="B33" s="20" t="s">
        <v>494</v>
      </c>
      <c r="C33" s="21">
        <v>4</v>
      </c>
      <c r="D33" s="12">
        <f>COUNTIFS('Test Cases'!$C$2:$C$106,A33,'Test Cases'!$B$2:$B$106,B33)</f>
        <v>4</v>
      </c>
      <c r="E33" s="12">
        <f t="shared" si="0"/>
        <v>0</v>
      </c>
      <c r="F33" s="12">
        <f>COUNTIFS('Test Cases'!$C$2:$C$106,A33,'Test Cases'!$B$2:$B$106,B33,'Test Cases'!$O$2:$O$106,"Pass")</f>
        <v>0</v>
      </c>
      <c r="G33" s="12">
        <f>COUNTIFS('Test Cases'!$C$2:$C$106,A33,'Test Cases'!$B$2:$B$106,B33,'Test Cases'!$O$2:$O$106,"Fail")</f>
        <v>0</v>
      </c>
      <c r="H33" s="22" t="str">
        <f t="shared" si="1"/>
        <v>-</v>
      </c>
      <c r="I33" s="12" t="s">
        <v>68</v>
      </c>
    </row>
    <row r="36" spans="1:9" x14ac:dyDescent="0.3">
      <c r="A36" s="19" t="s">
        <v>955</v>
      </c>
    </row>
    <row r="37" spans="1:9" ht="30" customHeight="1" x14ac:dyDescent="0.3">
      <c r="A37" s="7" t="s">
        <v>793</v>
      </c>
      <c r="B37" s="7"/>
      <c r="C37" s="7" t="s">
        <v>956</v>
      </c>
      <c r="D37" s="7" t="s">
        <v>957</v>
      </c>
      <c r="E37" s="7" t="s">
        <v>958</v>
      </c>
      <c r="F37" s="7" t="s">
        <v>959</v>
      </c>
      <c r="G37" s="7" t="s">
        <v>806</v>
      </c>
      <c r="H37" s="7" t="s">
        <v>807</v>
      </c>
      <c r="I37" s="7"/>
    </row>
    <row r="38" spans="1:9" x14ac:dyDescent="0.3">
      <c r="A38" s="20" t="s">
        <v>960</v>
      </c>
      <c r="B38" s="28" t="s">
        <v>66</v>
      </c>
      <c r="C38" s="12">
        <f>COUNTIF(RTM!$A$5:$A$41,B38)</f>
        <v>7</v>
      </c>
      <c r="D38" s="12">
        <f>COUNTIFS(RTM!$A$5:$A$41,B38,RTM!$N$5:$N$41,"Covered")</f>
        <v>7</v>
      </c>
      <c r="E38" s="29">
        <f t="shared" ref="E38:E45" si="2">IF(C38=0,0,D38/C38)</f>
        <v>1</v>
      </c>
      <c r="F38" s="12">
        <f>SUMIFS(RTM!$M$5:$M$41,RTM!$A$5:$A$41,B38)</f>
        <v>21</v>
      </c>
      <c r="G38" s="12">
        <f>SUMIFS(RTM!$O$5:$O$41,RTM!$A$5:$A$41,B38)</f>
        <v>0</v>
      </c>
      <c r="H38" s="12">
        <f>SUMIFS(RTM!$P$5:$P$41,RTM!$A$5:$A$41,B38)</f>
        <v>0</v>
      </c>
      <c r="I38" s="12"/>
    </row>
    <row r="39" spans="1:9" x14ac:dyDescent="0.3">
      <c r="A39" s="20" t="s">
        <v>961</v>
      </c>
      <c r="B39" s="28" t="s">
        <v>99</v>
      </c>
      <c r="C39" s="12">
        <f>COUNTIF(RTM!$A$5:$A$41,B39)</f>
        <v>7</v>
      </c>
      <c r="D39" s="12">
        <f>COUNTIFS(RTM!$A$5:$A$41,B39,RTM!$N$5:$N$41,"Covered")</f>
        <v>7</v>
      </c>
      <c r="E39" s="29">
        <f t="shared" si="2"/>
        <v>1</v>
      </c>
      <c r="F39" s="12">
        <f>SUMIFS(RTM!$M$5:$M$41,RTM!$A$5:$A$41,B39)</f>
        <v>38</v>
      </c>
      <c r="G39" s="12">
        <f>SUMIFS(RTM!$O$5:$O$41,RTM!$A$5:$A$41,B39)</f>
        <v>0</v>
      </c>
      <c r="H39" s="12">
        <f>SUMIFS(RTM!$P$5:$P$41,RTM!$A$5:$A$41,B39)</f>
        <v>0</v>
      </c>
      <c r="I39" s="12"/>
    </row>
    <row r="40" spans="1:9" x14ac:dyDescent="0.3">
      <c r="A40" s="20" t="s">
        <v>962</v>
      </c>
      <c r="B40" s="28" t="s">
        <v>156</v>
      </c>
      <c r="C40" s="12">
        <f>COUNTIF(RTM!$A$5:$A$41,B40)</f>
        <v>5</v>
      </c>
      <c r="D40" s="12">
        <f>COUNTIFS(RTM!$A$5:$A$41,B40,RTM!$N$5:$N$41,"Covered")</f>
        <v>5</v>
      </c>
      <c r="E40" s="29">
        <f t="shared" si="2"/>
        <v>1</v>
      </c>
      <c r="F40" s="12">
        <f>SUMIFS(RTM!$M$5:$M$41,RTM!$A$5:$A$41,B40)</f>
        <v>26</v>
      </c>
      <c r="G40" s="12">
        <f>SUMIFS(RTM!$O$5:$O$41,RTM!$A$5:$A$41,B40)</f>
        <v>0</v>
      </c>
      <c r="H40" s="12">
        <f>SUMIFS(RTM!$P$5:$P$41,RTM!$A$5:$A$41,B40)</f>
        <v>0</v>
      </c>
      <c r="I40" s="12"/>
    </row>
    <row r="41" spans="1:9" x14ac:dyDescent="0.3">
      <c r="A41" s="20" t="s">
        <v>963</v>
      </c>
      <c r="B41" s="28" t="s">
        <v>192</v>
      </c>
      <c r="C41" s="12">
        <f>COUNTIF(RTM!$A$5:$A$41,B41)</f>
        <v>5</v>
      </c>
      <c r="D41" s="12">
        <f>COUNTIFS(RTM!$A$5:$A$41,B41,RTM!$N$5:$N$41,"Covered")</f>
        <v>5</v>
      </c>
      <c r="E41" s="29">
        <f t="shared" si="2"/>
        <v>1</v>
      </c>
      <c r="F41" s="12">
        <f>SUMIFS(RTM!$M$5:$M$41,RTM!$A$5:$A$41,B41)</f>
        <v>33</v>
      </c>
      <c r="G41" s="12">
        <f>SUMIFS(RTM!$O$5:$O$41,RTM!$A$5:$A$41,B41)</f>
        <v>0</v>
      </c>
      <c r="H41" s="12">
        <f>SUMIFS(RTM!$P$5:$P$41,RTM!$A$5:$A$41,B41)</f>
        <v>0</v>
      </c>
      <c r="I41" s="12"/>
    </row>
    <row r="42" spans="1:9" x14ac:dyDescent="0.3">
      <c r="A42" s="20" t="s">
        <v>964</v>
      </c>
      <c r="B42" s="28" t="s">
        <v>250</v>
      </c>
      <c r="C42" s="12">
        <f>COUNTIF(RTM!$A$5:$A$41,B42)</f>
        <v>5</v>
      </c>
      <c r="D42" s="12">
        <f>COUNTIFS(RTM!$A$5:$A$41,B42,RTM!$N$5:$N$41,"Covered")</f>
        <v>5</v>
      </c>
      <c r="E42" s="29">
        <f t="shared" si="2"/>
        <v>1</v>
      </c>
      <c r="F42" s="12">
        <f>SUMIFS(RTM!$M$5:$M$41,RTM!$A$5:$A$41,B42)</f>
        <v>19</v>
      </c>
      <c r="G42" s="12">
        <f>SUMIFS(RTM!$O$5:$O$41,RTM!$A$5:$A$41,B42)</f>
        <v>0</v>
      </c>
      <c r="H42" s="12">
        <f>SUMIFS(RTM!$P$5:$P$41,RTM!$A$5:$A$41,B42)</f>
        <v>0</v>
      </c>
      <c r="I42" s="12"/>
    </row>
    <row r="43" spans="1:9" x14ac:dyDescent="0.3">
      <c r="A43" s="20" t="s">
        <v>965</v>
      </c>
      <c r="B43" s="28" t="s">
        <v>225</v>
      </c>
      <c r="C43" s="12">
        <f>COUNTIF(RTM!$A$5:$A$41,B43)</f>
        <v>4</v>
      </c>
      <c r="D43" s="12">
        <f>COUNTIFS(RTM!$A$5:$A$41,B43,RTM!$N$5:$N$41,"Covered")</f>
        <v>4</v>
      </c>
      <c r="E43" s="29">
        <f t="shared" si="2"/>
        <v>1</v>
      </c>
      <c r="F43" s="12">
        <f>SUMIFS(RTM!$M$5:$M$41,RTM!$A$5:$A$41,B43)</f>
        <v>9</v>
      </c>
      <c r="G43" s="12">
        <f>SUMIFS(RTM!$O$5:$O$41,RTM!$A$5:$A$41,B43)</f>
        <v>0</v>
      </c>
      <c r="H43" s="12">
        <f>SUMIFS(RTM!$P$5:$P$41,RTM!$A$5:$A$41,B43)</f>
        <v>0</v>
      </c>
      <c r="I43" s="12"/>
    </row>
    <row r="44" spans="1:9" x14ac:dyDescent="0.3">
      <c r="A44" s="20" t="s">
        <v>966</v>
      </c>
      <c r="B44" s="28" t="s">
        <v>496</v>
      </c>
      <c r="C44" s="12">
        <f>COUNTIF(RTM!$A$5:$A$41,B44)</f>
        <v>4</v>
      </c>
      <c r="D44" s="12">
        <f>COUNTIFS(RTM!$A$5:$A$41,B44,RTM!$N$5:$N$41,"Covered")</f>
        <v>4</v>
      </c>
      <c r="E44" s="29">
        <f t="shared" si="2"/>
        <v>1</v>
      </c>
      <c r="F44" s="12">
        <f>SUMIFS(RTM!$M$5:$M$41,RTM!$A$5:$A$41,B44)</f>
        <v>22</v>
      </c>
      <c r="G44" s="12">
        <f>SUMIFS(RTM!$O$5:$O$41,RTM!$A$5:$A$41,B44)</f>
        <v>0</v>
      </c>
      <c r="H44" s="12">
        <f>SUMIFS(RTM!$P$5:$P$41,RTM!$A$5:$A$41,B44)</f>
        <v>0</v>
      </c>
      <c r="I44" s="12"/>
    </row>
    <row r="45" spans="1:9" x14ac:dyDescent="0.3">
      <c r="A45" s="24" t="s">
        <v>967</v>
      </c>
      <c r="B45" s="24"/>
      <c r="C45" s="25">
        <f>SUM(C38:C44)</f>
        <v>37</v>
      </c>
      <c r="D45" s="25">
        <f>SUM(D38:D44)</f>
        <v>37</v>
      </c>
      <c r="E45" s="27">
        <f t="shared" si="2"/>
        <v>1</v>
      </c>
      <c r="F45" s="25">
        <f>SUM(F38:F44)</f>
        <v>168</v>
      </c>
      <c r="G45" s="25">
        <f>SUM(G38:G44)</f>
        <v>0</v>
      </c>
      <c r="H45" s="25">
        <f>SUM(H38:H44)</f>
        <v>0</v>
      </c>
      <c r="I45" s="25"/>
    </row>
    <row r="46" spans="1:9" x14ac:dyDescent="0.3">
      <c r="A46" s="30" t="s">
        <v>968</v>
      </c>
    </row>
    <row r="49" spans="1:9" x14ac:dyDescent="0.3">
      <c r="A49" s="19" t="s">
        <v>969</v>
      </c>
    </row>
    <row r="50" spans="1:9" ht="30" customHeight="1" x14ac:dyDescent="0.3">
      <c r="A50" s="7" t="s">
        <v>970</v>
      </c>
      <c r="B50" s="7"/>
      <c r="C50" s="7" t="s">
        <v>971</v>
      </c>
      <c r="D50" s="7" t="s">
        <v>972</v>
      </c>
      <c r="E50" s="7" t="s">
        <v>973</v>
      </c>
      <c r="F50" s="7"/>
      <c r="G50" s="7"/>
      <c r="H50" s="7"/>
      <c r="I50" s="7"/>
    </row>
    <row r="51" spans="1:9" x14ac:dyDescent="0.3">
      <c r="A51" s="20" t="s">
        <v>974</v>
      </c>
      <c r="B51" s="20"/>
      <c r="C51" s="21">
        <v>40</v>
      </c>
      <c r="D51" s="12">
        <f>D6</f>
        <v>40</v>
      </c>
      <c r="E51" s="12" t="str">
        <f t="shared" ref="E51:E59" si="3">IF(D51&gt;=C51,"Met","Not met")</f>
        <v>Met</v>
      </c>
    </row>
    <row r="52" spans="1:9" x14ac:dyDescent="0.3">
      <c r="A52" s="20" t="s">
        <v>975</v>
      </c>
      <c r="B52" s="20"/>
      <c r="C52" s="23">
        <v>0.9</v>
      </c>
      <c r="D52" s="22">
        <f>IF(F6+G6=0,0,F6/(F6+G6))</f>
        <v>0</v>
      </c>
      <c r="E52" s="12" t="str">
        <f t="shared" si="3"/>
        <v>Not met</v>
      </c>
    </row>
    <row r="53" spans="1:9" x14ac:dyDescent="0.3">
      <c r="A53" s="20" t="s">
        <v>976</v>
      </c>
      <c r="B53" s="20"/>
      <c r="C53" s="21">
        <v>40</v>
      </c>
      <c r="D53" s="12">
        <f>D7</f>
        <v>40</v>
      </c>
      <c r="E53" s="12" t="str">
        <f t="shared" si="3"/>
        <v>Met</v>
      </c>
    </row>
    <row r="54" spans="1:9" x14ac:dyDescent="0.3">
      <c r="A54" s="20" t="s">
        <v>977</v>
      </c>
      <c r="B54" s="20"/>
      <c r="C54" s="23">
        <v>1</v>
      </c>
      <c r="D54" s="22">
        <f>IF(F7+G7=0,0,F7/(F7+G7))</f>
        <v>0</v>
      </c>
      <c r="E54" s="12" t="str">
        <f t="shared" si="3"/>
        <v>Not met</v>
      </c>
    </row>
    <row r="55" spans="1:9" x14ac:dyDescent="0.3">
      <c r="A55" s="20" t="s">
        <v>978</v>
      </c>
      <c r="B55" s="20"/>
      <c r="C55" s="21">
        <v>20</v>
      </c>
      <c r="D55" s="12">
        <f>D8</f>
        <v>20</v>
      </c>
      <c r="E55" s="12" t="str">
        <f t="shared" si="3"/>
        <v>Met</v>
      </c>
    </row>
    <row r="56" spans="1:9" x14ac:dyDescent="0.3">
      <c r="A56" s="20" t="s">
        <v>979</v>
      </c>
      <c r="B56" s="20"/>
      <c r="C56" s="23">
        <v>1</v>
      </c>
      <c r="D56" s="22">
        <f>IF(F8+G8=0,0,F8/(F8+G8))</f>
        <v>0</v>
      </c>
      <c r="E56" s="12" t="str">
        <f t="shared" si="3"/>
        <v>Not met</v>
      </c>
    </row>
    <row r="57" spans="1:9" x14ac:dyDescent="0.3">
      <c r="A57" s="20" t="s">
        <v>980</v>
      </c>
      <c r="B57" s="20"/>
      <c r="C57" s="21">
        <v>5</v>
      </c>
      <c r="D57" s="12">
        <f>D9</f>
        <v>5</v>
      </c>
      <c r="E57" s="12" t="str">
        <f t="shared" si="3"/>
        <v>Met</v>
      </c>
    </row>
    <row r="58" spans="1:9" x14ac:dyDescent="0.3">
      <c r="A58" s="20" t="s">
        <v>981</v>
      </c>
      <c r="B58" s="20"/>
      <c r="C58" s="23">
        <v>1</v>
      </c>
      <c r="D58" s="22">
        <f>IF(F9+G9=0,0,F9/(F9+G9))</f>
        <v>0</v>
      </c>
      <c r="E58" s="12" t="str">
        <f t="shared" si="3"/>
        <v>Not met</v>
      </c>
    </row>
    <row r="59" spans="1:9" x14ac:dyDescent="0.3">
      <c r="A59" s="20" t="s">
        <v>982</v>
      </c>
      <c r="B59" s="20"/>
      <c r="C59" s="23">
        <v>1</v>
      </c>
      <c r="D59" s="22">
        <f>E45</f>
        <v>1</v>
      </c>
      <c r="E59" s="12" t="str">
        <f t="shared" si="3"/>
        <v>Met</v>
      </c>
    </row>
    <row r="60" spans="1:9" x14ac:dyDescent="0.3">
      <c r="A60" s="30" t="s">
        <v>983</v>
      </c>
    </row>
  </sheetData>
  <conditionalFormatting sqref="E6:E10">
    <cfRule type="cellIs" dxfId="2" priority="4" operator="notEqual">
      <formula>0</formula>
    </cfRule>
  </conditionalFormatting>
  <conditionalFormatting sqref="E51:E59">
    <cfRule type="cellIs" dxfId="1" priority="2" operator="equal">
      <formula>"Met"</formula>
    </cfRule>
    <cfRule type="cellIs" dxfId="0" priority="3" operator="equal">
      <formula>"Not met"</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Test Cases</vt:lpstr>
      <vt:lpstr>E2E Steps</vt:lpstr>
      <vt:lpstr>RTM</vt:lpstr>
      <vt:lpstr>Coverage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muhammad uzair salaam</cp:lastModifiedBy>
  <cp:revision>0</cp:revision>
  <dcterms:created xsi:type="dcterms:W3CDTF">2026-10-12T09:23:11Z</dcterms:created>
  <dcterms:modified xsi:type="dcterms:W3CDTF">2026-10-20T13:44:51Z</dcterms:modified>
  <dc:language>en-US</dc:language>
</cp:coreProperties>
</file>